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4d819feee7c137f/Documents/brewing/"/>
    </mc:Choice>
  </mc:AlternateContent>
  <xr:revisionPtr revIDLastSave="7" documentId="8_{F47B2A78-3282-4A3E-A006-76DCCC2D031F}" xr6:coauthVersionLast="47" xr6:coauthVersionMax="47" xr10:uidLastSave="{D3A5F9DF-274D-4A8F-84FE-D2FA82CEE172}"/>
  <bookViews>
    <workbookView xWindow="-120" yWindow="-120" windowWidth="29040" windowHeight="15720" xr2:uid="{BD9653DF-2389-4377-A522-A1712B16D7FD}"/>
  </bookViews>
  <sheets>
    <sheet name="Reports" sheetId="1" r:id="rId1"/>
  </sheets>
  <externalReferences>
    <externalReference r:id="rId2"/>
  </externalReferenc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47" i="1" l="1"/>
  <c r="F247" i="1"/>
  <c r="G246" i="1"/>
  <c r="F246" i="1"/>
  <c r="G245" i="1"/>
  <c r="F245" i="1"/>
  <c r="G244" i="1"/>
  <c r="F244" i="1"/>
  <c r="G243" i="1"/>
  <c r="F243" i="1"/>
  <c r="G242" i="1"/>
  <c r="F242" i="1"/>
  <c r="G241" i="1"/>
  <c r="F241" i="1"/>
  <c r="G240" i="1"/>
  <c r="F240" i="1"/>
  <c r="G239" i="1"/>
  <c r="F239" i="1"/>
  <c r="G238" i="1"/>
  <c r="F238" i="1"/>
  <c r="G237" i="1"/>
  <c r="F237" i="1"/>
  <c r="G236" i="1"/>
  <c r="F236" i="1"/>
  <c r="G235" i="1"/>
  <c r="F235" i="1"/>
  <c r="G234" i="1"/>
  <c r="F234" i="1"/>
  <c r="G233" i="1"/>
  <c r="F233" i="1"/>
  <c r="G232" i="1"/>
  <c r="F232" i="1"/>
  <c r="G231" i="1"/>
  <c r="F231" i="1"/>
  <c r="G230" i="1"/>
  <c r="F230" i="1"/>
  <c r="G229" i="1"/>
  <c r="F229" i="1"/>
  <c r="G228" i="1"/>
  <c r="F228" i="1"/>
  <c r="G227" i="1"/>
  <c r="F227" i="1"/>
  <c r="G226" i="1"/>
  <c r="F226" i="1"/>
  <c r="G225" i="1"/>
  <c r="F225" i="1"/>
  <c r="G224" i="1"/>
  <c r="F224" i="1"/>
  <c r="G223" i="1"/>
  <c r="F223" i="1"/>
  <c r="G222" i="1"/>
  <c r="F222" i="1"/>
  <c r="G221" i="1"/>
  <c r="F221" i="1"/>
  <c r="G220" i="1"/>
  <c r="F220" i="1"/>
  <c r="G219" i="1"/>
  <c r="F219" i="1"/>
  <c r="G218" i="1"/>
  <c r="F218" i="1"/>
  <c r="G217" i="1"/>
  <c r="F217" i="1"/>
  <c r="G216" i="1"/>
  <c r="F216" i="1"/>
  <c r="G215" i="1"/>
  <c r="F215" i="1"/>
  <c r="G214" i="1"/>
  <c r="F214" i="1"/>
  <c r="G213" i="1"/>
  <c r="F213" i="1"/>
  <c r="G212" i="1"/>
  <c r="F212" i="1"/>
  <c r="G211" i="1"/>
  <c r="F211" i="1"/>
  <c r="G210" i="1"/>
  <c r="F210" i="1"/>
  <c r="G209" i="1"/>
  <c r="F209" i="1"/>
  <c r="G208" i="1"/>
  <c r="F208" i="1"/>
  <c r="G207" i="1"/>
  <c r="F207" i="1"/>
  <c r="G206" i="1"/>
  <c r="F206" i="1"/>
  <c r="G205" i="1"/>
  <c r="F205" i="1"/>
  <c r="G204" i="1"/>
  <c r="F204" i="1"/>
  <c r="G203" i="1"/>
  <c r="F203" i="1"/>
  <c r="G202" i="1"/>
  <c r="F202" i="1"/>
  <c r="G201" i="1"/>
  <c r="F201" i="1"/>
  <c r="G200" i="1"/>
  <c r="F200" i="1"/>
  <c r="G199" i="1"/>
  <c r="F199" i="1"/>
  <c r="G198" i="1"/>
  <c r="F198" i="1"/>
  <c r="G197" i="1"/>
  <c r="F197" i="1"/>
  <c r="G196" i="1"/>
  <c r="F196" i="1"/>
  <c r="G195" i="1"/>
  <c r="F195" i="1"/>
  <c r="G194" i="1"/>
  <c r="F194" i="1"/>
  <c r="G193" i="1"/>
  <c r="F193" i="1"/>
  <c r="G192" i="1"/>
  <c r="F192" i="1"/>
  <c r="G191" i="1"/>
  <c r="F191" i="1"/>
  <c r="G190" i="1"/>
  <c r="F190" i="1"/>
  <c r="G189" i="1"/>
  <c r="F189" i="1"/>
  <c r="G188" i="1"/>
  <c r="F188" i="1"/>
  <c r="G187" i="1"/>
  <c r="F187" i="1"/>
  <c r="G186" i="1"/>
  <c r="F186" i="1"/>
  <c r="G185" i="1"/>
  <c r="F185" i="1"/>
  <c r="G184" i="1"/>
  <c r="F184" i="1"/>
  <c r="G183" i="1"/>
  <c r="F183" i="1"/>
  <c r="G182" i="1"/>
  <c r="F182" i="1"/>
  <c r="G181" i="1"/>
  <c r="F181" i="1"/>
  <c r="G180" i="1"/>
  <c r="F180" i="1"/>
  <c r="G179" i="1"/>
  <c r="F179" i="1"/>
  <c r="G178" i="1"/>
  <c r="F178" i="1"/>
  <c r="G177" i="1"/>
  <c r="F177" i="1"/>
  <c r="G176" i="1"/>
  <c r="F176" i="1"/>
  <c r="G175" i="1"/>
  <c r="F175" i="1"/>
  <c r="G174" i="1"/>
  <c r="F174" i="1"/>
  <c r="G173" i="1"/>
  <c r="F173" i="1"/>
  <c r="G172" i="1"/>
  <c r="F172" i="1"/>
  <c r="G171" i="1"/>
  <c r="F171" i="1"/>
  <c r="G170" i="1"/>
  <c r="F170" i="1"/>
  <c r="G169" i="1"/>
  <c r="F169" i="1"/>
  <c r="G168" i="1"/>
  <c r="F168" i="1"/>
  <c r="G167" i="1"/>
  <c r="F167" i="1"/>
  <c r="G166" i="1"/>
  <c r="F166" i="1"/>
  <c r="G165" i="1"/>
  <c r="F165" i="1"/>
  <c r="G164" i="1"/>
  <c r="F164" i="1"/>
  <c r="G163" i="1"/>
  <c r="F163" i="1"/>
  <c r="G162" i="1"/>
  <c r="F162" i="1"/>
  <c r="G161" i="1"/>
  <c r="F161" i="1"/>
  <c r="G160" i="1"/>
  <c r="F160" i="1"/>
  <c r="G159" i="1"/>
  <c r="F159" i="1"/>
  <c r="G158" i="1"/>
  <c r="F158" i="1"/>
  <c r="G157" i="1"/>
  <c r="F157" i="1"/>
  <c r="G156" i="1"/>
  <c r="F156" i="1"/>
  <c r="G155" i="1"/>
  <c r="F155" i="1"/>
  <c r="G154" i="1"/>
  <c r="F154" i="1"/>
  <c r="G153" i="1"/>
  <c r="F153" i="1"/>
  <c r="G152" i="1"/>
  <c r="F152" i="1"/>
  <c r="G151" i="1"/>
  <c r="F151" i="1"/>
  <c r="G150" i="1"/>
  <c r="F150" i="1"/>
  <c r="G149" i="1"/>
  <c r="F149" i="1"/>
  <c r="G148" i="1"/>
  <c r="F148" i="1"/>
  <c r="G147" i="1"/>
  <c r="F147" i="1"/>
  <c r="G146" i="1"/>
  <c r="F146" i="1"/>
  <c r="G145" i="1"/>
  <c r="F145" i="1"/>
  <c r="G144" i="1"/>
  <c r="F144" i="1"/>
  <c r="G143" i="1"/>
  <c r="F143" i="1"/>
  <c r="G142" i="1"/>
  <c r="F142" i="1"/>
  <c r="G141" i="1"/>
  <c r="F141" i="1"/>
  <c r="G140" i="1"/>
  <c r="F140" i="1"/>
  <c r="G139" i="1"/>
  <c r="F139" i="1"/>
  <c r="G138" i="1"/>
  <c r="F138" i="1"/>
  <c r="G137" i="1"/>
  <c r="F137" i="1"/>
  <c r="G136" i="1"/>
  <c r="F136" i="1"/>
  <c r="G135" i="1"/>
  <c r="F135" i="1"/>
  <c r="G134" i="1"/>
  <c r="F134" i="1"/>
  <c r="G133" i="1"/>
  <c r="F133" i="1"/>
  <c r="G132" i="1"/>
  <c r="F132" i="1"/>
  <c r="G131" i="1"/>
  <c r="F131" i="1"/>
  <c r="G130" i="1"/>
  <c r="F130" i="1"/>
  <c r="G129" i="1"/>
  <c r="F129" i="1"/>
  <c r="G128" i="1"/>
  <c r="F128" i="1"/>
  <c r="G127" i="1"/>
  <c r="F127" i="1"/>
  <c r="G126" i="1"/>
  <c r="F126" i="1"/>
  <c r="G125" i="1"/>
  <c r="F125" i="1"/>
  <c r="G124" i="1"/>
  <c r="F124" i="1"/>
  <c r="G123" i="1"/>
  <c r="F123" i="1"/>
  <c r="G122" i="1"/>
  <c r="F122" i="1"/>
  <c r="G121" i="1"/>
  <c r="F121" i="1"/>
  <c r="G120" i="1"/>
  <c r="F120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G2" i="1"/>
  <c r="F2" i="1"/>
</calcChain>
</file>

<file path=xl/sharedStrings.xml><?xml version="1.0" encoding="utf-8"?>
<sst xmlns="http://schemas.openxmlformats.org/spreadsheetml/2006/main" count="255" uniqueCount="255">
  <si>
    <t>Location</t>
  </si>
  <si>
    <t>Sodium</t>
  </si>
  <si>
    <t>Sulphate</t>
  </si>
  <si>
    <t>Chloride</t>
  </si>
  <si>
    <t>pH</t>
  </si>
  <si>
    <t>Calcium</t>
  </si>
  <si>
    <t>Magnesium</t>
  </si>
  <si>
    <t>HCO3</t>
  </si>
  <si>
    <t>Acharacle</t>
  </si>
  <si>
    <t>Achiltibuie</t>
  </si>
  <si>
    <t>Achnasheen</t>
  </si>
  <si>
    <t>Afton</t>
  </si>
  <si>
    <t>Alexandria</t>
  </si>
  <si>
    <t>Alligin</t>
  </si>
  <si>
    <t>Altnaharra</t>
  </si>
  <si>
    <t>Applecross</t>
  </si>
  <si>
    <t>Ardeonaig</t>
  </si>
  <si>
    <t>Ardfern</t>
  </si>
  <si>
    <t>Ardrishaig</t>
  </si>
  <si>
    <t>Ardvourlie Western Isles</t>
  </si>
  <si>
    <t>Arinagour Coll</t>
  </si>
  <si>
    <t>Arnisdale</t>
  </si>
  <si>
    <t>Ascog Bute</t>
  </si>
  <si>
    <t>Assynt</t>
  </si>
  <si>
    <t>Auchneel</t>
  </si>
  <si>
    <t>Aultbea</t>
  </si>
  <si>
    <t>Aviemore</t>
  </si>
  <si>
    <t>Backies</t>
  </si>
  <si>
    <t>Badachro</t>
  </si>
  <si>
    <t>Badcaul</t>
  </si>
  <si>
    <t>Badentinan</t>
  </si>
  <si>
    <t>Ballater</t>
  </si>
  <si>
    <t>Ballygrant Islay</t>
  </si>
  <si>
    <t>Balmichael Arran</t>
  </si>
  <si>
    <t>Balmore A</t>
  </si>
  <si>
    <t>Balmore B</t>
  </si>
  <si>
    <t>Balmore C</t>
  </si>
  <si>
    <t>Balmore Carron Valley</t>
  </si>
  <si>
    <t>Balmore Castlemilk</t>
  </si>
  <si>
    <t>Balmore D</t>
  </si>
  <si>
    <t>Balmore E</t>
  </si>
  <si>
    <t>Balmore F</t>
  </si>
  <si>
    <t>Balmore G</t>
  </si>
  <si>
    <t>Balmore Legbrannock</t>
  </si>
  <si>
    <t>Balquidder</t>
  </si>
  <si>
    <t>Barra Western Isles</t>
  </si>
  <si>
    <t>Belmore</t>
  </si>
  <si>
    <t>Benbecula Western Isles</t>
  </si>
  <si>
    <t>Black Esk</t>
  </si>
  <si>
    <t>Black Esk Winterhope</t>
  </si>
  <si>
    <t>Blairlinnans North</t>
  </si>
  <si>
    <t>Blairlinnans South</t>
  </si>
  <si>
    <t>Blairnamarrow</t>
  </si>
  <si>
    <t>Boardhouse Orkney</t>
  </si>
  <si>
    <t>Bonar Bridge</t>
  </si>
  <si>
    <t>Bonnycraig</t>
  </si>
  <si>
    <t>Bracadale Skye</t>
  </si>
  <si>
    <t>Bradan B</t>
  </si>
  <si>
    <t>Bradan C</t>
  </si>
  <si>
    <t>Braemar</t>
  </si>
  <si>
    <t>Brig O Turk</t>
  </si>
  <si>
    <t>Broadford Mid Skye</t>
  </si>
  <si>
    <t>Broadford Skye</t>
  </si>
  <si>
    <t>Bunessan Mull</t>
  </si>
  <si>
    <t>Burncrooks</t>
  </si>
  <si>
    <t>Campbeltown</t>
  </si>
  <si>
    <t>Camphill</t>
  </si>
  <si>
    <t>Camps</t>
  </si>
  <si>
    <t>Carbost Skye</t>
  </si>
  <si>
    <t>Cargen</t>
  </si>
  <si>
    <t>Carradale</t>
  </si>
  <si>
    <t>Carrick Castle</t>
  </si>
  <si>
    <t>Carron Valley A</t>
  </si>
  <si>
    <t>Carron Valley B</t>
  </si>
  <si>
    <t>Carsphairn</t>
  </si>
  <si>
    <t>Claddich</t>
  </si>
  <si>
    <t>Clatto East</t>
  </si>
  <si>
    <t>Cliasmol Western Isles</t>
  </si>
  <si>
    <t>Colonsay</t>
  </si>
  <si>
    <t>Corrie Arran</t>
  </si>
  <si>
    <t>Coulter</t>
  </si>
  <si>
    <t>Craighead</t>
  </si>
  <si>
    <t>Craighouse Jura</t>
  </si>
  <si>
    <t>Craigie</t>
  </si>
  <si>
    <t>Crathie</t>
  </si>
  <si>
    <t>Crianlarich</t>
  </si>
  <si>
    <t>Daer A</t>
  </si>
  <si>
    <t>Daer B</t>
  </si>
  <si>
    <t>Daer C</t>
  </si>
  <si>
    <t>Daer Camps A</t>
  </si>
  <si>
    <t>Daer Camps B</t>
  </si>
  <si>
    <t>Dalmally</t>
  </si>
  <si>
    <t>Dalwhinnie</t>
  </si>
  <si>
    <t>Dervaig Mull</t>
  </si>
  <si>
    <t>Dhu Loch Bute</t>
  </si>
  <si>
    <t>Diabeg</t>
  </si>
  <si>
    <t>Dornoch</t>
  </si>
  <si>
    <t>Drimnin</t>
  </si>
  <si>
    <t>Drumbeg</t>
  </si>
  <si>
    <t>Durness</t>
  </si>
  <si>
    <t>Earlish Skye</t>
  </si>
  <si>
    <t>Eday Orkney</t>
  </si>
  <si>
    <t>Eela Water Shetland</t>
  </si>
  <si>
    <t>Fair Isle Shetland</t>
  </si>
  <si>
    <t>Fetlar Shetland</t>
  </si>
  <si>
    <t>Finlas</t>
  </si>
  <si>
    <t>Forehill</t>
  </si>
  <si>
    <t>Fort William</t>
  </si>
  <si>
    <t>Foula Shetland</t>
  </si>
  <si>
    <t>Geocrab Western Isles</t>
  </si>
  <si>
    <t>Gigha</t>
  </si>
  <si>
    <t>Glenconvinth</t>
  </si>
  <si>
    <t>Glencorse A</t>
  </si>
  <si>
    <t>Glencorse B</t>
  </si>
  <si>
    <t>Glencorse C</t>
  </si>
  <si>
    <t>Glencorse D</t>
  </si>
  <si>
    <t>Glendale Skye</t>
  </si>
  <si>
    <t>Glendevon A</t>
  </si>
  <si>
    <t>Glendevon B</t>
  </si>
  <si>
    <t>Glenelg</t>
  </si>
  <si>
    <t>Glenfarg</t>
  </si>
  <si>
    <t>Glengap</t>
  </si>
  <si>
    <t>Glenlatterach</t>
  </si>
  <si>
    <t>Glenuig</t>
  </si>
  <si>
    <t>Greenock</t>
  </si>
  <si>
    <t>Harris Bedersaig</t>
  </si>
  <si>
    <t>Herricks</t>
  </si>
  <si>
    <t>Hopes</t>
  </si>
  <si>
    <t>Howden</t>
  </si>
  <si>
    <t>Hoy Calder</t>
  </si>
  <si>
    <t>Inchlaggan</t>
  </si>
  <si>
    <t>Innerleithen</t>
  </si>
  <si>
    <t>Inverary</t>
  </si>
  <si>
    <t>Invercannie</t>
  </si>
  <si>
    <t>Invergarry</t>
  </si>
  <si>
    <t>Invermoriston</t>
  </si>
  <si>
    <t>Inverness</t>
  </si>
  <si>
    <t>Katrine Pier</t>
  </si>
  <si>
    <t>Kenmore</t>
  </si>
  <si>
    <t>Kettleton</t>
  </si>
  <si>
    <t>Kilberry</t>
  </si>
  <si>
    <t>Kilchoan</t>
  </si>
  <si>
    <t>Killiecrankie</t>
  </si>
  <si>
    <t>Killin</t>
  </si>
  <si>
    <t>Killylour</t>
  </si>
  <si>
    <t>Kilmaluag Skye</t>
  </si>
  <si>
    <t>Kilmelford</t>
  </si>
  <si>
    <t>Kinloch Rannoch</t>
  </si>
  <si>
    <t>Kinlochbervie</t>
  </si>
  <si>
    <t>Kinlochewe</t>
  </si>
  <si>
    <t>Kinlochleven</t>
  </si>
  <si>
    <t>Kirbister Orkney</t>
  </si>
  <si>
    <t>Kirkmichael</t>
  </si>
  <si>
    <t>Kyle of Lochalsh</t>
  </si>
  <si>
    <t>Kylesku</t>
  </si>
  <si>
    <t>Laggan Bridge</t>
  </si>
  <si>
    <t>Laid</t>
  </si>
  <si>
    <t>Larchfield</t>
  </si>
  <si>
    <t>Lerwick Shetland</t>
  </si>
  <si>
    <t>Lintrathen</t>
  </si>
  <si>
    <t>Lismore Primary</t>
  </si>
  <si>
    <t>Loch Eck</t>
  </si>
  <si>
    <t>Lochaline</t>
  </si>
  <si>
    <t>Lochcarron</t>
  </si>
  <si>
    <t>Lochearnhead</t>
  </si>
  <si>
    <t>Lochgoilhead</t>
  </si>
  <si>
    <t>Lochinvar</t>
  </si>
  <si>
    <t>Lochinver</t>
  </si>
  <si>
    <t>Lochmaddy Western Isles</t>
  </si>
  <si>
    <t>Lochranza Arran</t>
  </si>
  <si>
    <t>Lomond Hills</t>
  </si>
  <si>
    <t>Lumsden</t>
  </si>
  <si>
    <t>Mallaig</t>
  </si>
  <si>
    <t>Mannofield East</t>
  </si>
  <si>
    <t>Mannofield North</t>
  </si>
  <si>
    <t>Mannofield South</t>
  </si>
  <si>
    <t>Mannofield West</t>
  </si>
  <si>
    <t>Manse Street</t>
  </si>
  <si>
    <t>Marchbank A</t>
  </si>
  <si>
    <t>Marchbank B</t>
  </si>
  <si>
    <t>Meavaig Western Isles</t>
  </si>
  <si>
    <t>Milngavie Gorbals</t>
  </si>
  <si>
    <t>Moffat</t>
  </si>
  <si>
    <t>Muirdykes</t>
  </si>
  <si>
    <t>Ness Western Isles</t>
  </si>
  <si>
    <t>Newcastleton</t>
  </si>
  <si>
    <t>Newmore</t>
  </si>
  <si>
    <t>North Hoy Orkney</t>
  </si>
  <si>
    <t>North Lochs</t>
  </si>
  <si>
    <t>North Ronaldsay Orkney</t>
  </si>
  <si>
    <t>Osedale Skye</t>
  </si>
  <si>
    <t>Papa Stour Shetland</t>
  </si>
  <si>
    <t>Pateshill</t>
  </si>
  <si>
    <t>Penwhapple</t>
  </si>
  <si>
    <t>Penwhirn</t>
  </si>
  <si>
    <t>Perth</t>
  </si>
  <si>
    <t>Picketlaw</t>
  </si>
  <si>
    <t>Poolewe Regional</t>
  </si>
  <si>
    <t>Port Charlotte Islay</t>
  </si>
  <si>
    <t>Portree Torvaig Skye</t>
  </si>
  <si>
    <t>Raasay Skye</t>
  </si>
  <si>
    <t>Rawburn</t>
  </si>
  <si>
    <t>Rhenigidale Western Isles</t>
  </si>
  <si>
    <t>Roberton</t>
  </si>
  <si>
    <t>Rosebery A</t>
  </si>
  <si>
    <t>Rosebery B</t>
  </si>
  <si>
    <t>Rosebery Castle Moffat</t>
  </si>
  <si>
    <t>Rosebery Hopes</t>
  </si>
  <si>
    <t>Rousay School Orkney</t>
  </si>
  <si>
    <t>Saddell</t>
  </si>
  <si>
    <t>Sanday Orkney</t>
  </si>
  <si>
    <t>Sanna</t>
  </si>
  <si>
    <t>Savalbeg</t>
  </si>
  <si>
    <t>Scourie</t>
  </si>
  <si>
    <t>Shieldaig</t>
  </si>
  <si>
    <t>Skerries Shetland</t>
  </si>
  <si>
    <t>South Hoy Orkney</t>
  </si>
  <si>
    <t>South Uist Western Isles</t>
  </si>
  <si>
    <t>Spynie</t>
  </si>
  <si>
    <t>Staffin Skye</t>
  </si>
  <si>
    <t>Stoer</t>
  </si>
  <si>
    <t>Stornoway Western Isles</t>
  </si>
  <si>
    <t>Strathyre</t>
  </si>
  <si>
    <t>Stronachlachar</t>
  </si>
  <si>
    <t>Stronsay Orkney</t>
  </si>
  <si>
    <t>Strontian</t>
  </si>
  <si>
    <t>Suainaval Western Isles</t>
  </si>
  <si>
    <t>Tarbert Argyll</t>
  </si>
  <si>
    <t>Tarbert Western Isles</t>
  </si>
  <si>
    <t>Taynuilt</t>
  </si>
  <si>
    <t>Teangue Skye</t>
  </si>
  <si>
    <t>Terregles</t>
  </si>
  <si>
    <t>Tighnabruaich</t>
  </si>
  <si>
    <t>Tiree</t>
  </si>
  <si>
    <t>Tobermory Mull</t>
  </si>
  <si>
    <t>Tomatin</t>
  </si>
  <si>
    <t>Tomich</t>
  </si>
  <si>
    <t>Tomnavoulin</t>
  </si>
  <si>
    <t>Torra Islay</t>
  </si>
  <si>
    <t>Torridon</t>
  </si>
  <si>
    <t>Tullich</t>
  </si>
  <si>
    <t>Turret A</t>
  </si>
  <si>
    <t>Turret B</t>
  </si>
  <si>
    <t>Turret C</t>
  </si>
  <si>
    <t>Turriff</t>
  </si>
  <si>
    <t>Tyndrum</t>
  </si>
  <si>
    <t>Ullapool</t>
  </si>
  <si>
    <t>Unst Shetland</t>
  </si>
  <si>
    <t>Waternish Skye</t>
  </si>
  <si>
    <t>West Lewis Western Isles</t>
  </si>
  <si>
    <t>Westray Orkney</t>
  </si>
  <si>
    <t>Whalsay Shetland</t>
  </si>
  <si>
    <t>Whitehillocks</t>
  </si>
  <si>
    <t>Winterhope</t>
  </si>
  <si>
    <t>Find your water supply location &gt;&gt;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</si>
</sst>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vertical="center"/>
    </xf>
    <xf numFmtId="0" fontId="4" fillId="2" borderId="0" xfId="1" applyFill="1" applyAlignment="1">
      <alignment horizontal="center"/>
    </xf>
    <xf numFmtId="2" fontId="2" fillId="2" borderId="0" xfId="0" applyNumberFormat="1" applyFont="1" applyFill="1" applyAlignment="1">
      <alignment horizontal="center" wrapText="1"/>
    </xf>
    <xf numFmtId="2" fontId="0" fillId="0" borderId="0" xfId="0" applyNumberFormat="1"/>
    <xf numFmtId="2" fontId="1" fillId="2" borderId="0" xfId="0" applyNumberFormat="1" applyFont="1" applyFill="1" applyAlignment="1">
      <alignment horizontal="center"/>
    </xf>
    <xf numFmtId="2" fontId="2" fillId="2" borderId="1" xfId="0" applyNumberFormat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4d819feee7c137f/Documents/brewing/water_quality_summary.xlsx" TargetMode="External"/><Relationship Id="rId1" Type="http://schemas.openxmlformats.org/officeDocument/2006/relationships/externalLinkPath" Target="water_quality_summ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ardness"/>
      <sheetName val="Reports"/>
    </sheetNames>
    <sheetDataSet>
      <sheetData sheetId="0">
        <row r="2">
          <cell r="A2" t="str">
            <v>Acharacle</v>
          </cell>
          <cell r="B2">
            <v>2.7</v>
          </cell>
          <cell r="C2">
            <v>0.68</v>
          </cell>
          <cell r="D2">
            <v>9.5299999999999994</v>
          </cell>
          <cell r="E2">
            <v>0.67</v>
          </cell>
          <cell r="F2">
            <v>0.95</v>
          </cell>
          <cell r="G2">
            <v>0.53</v>
          </cell>
          <cell r="H2" t="str">
            <v>Soft</v>
          </cell>
        </row>
        <row r="3">
          <cell r="A3" t="str">
            <v>Achiltibuie</v>
          </cell>
          <cell r="B3">
            <v>1.73</v>
          </cell>
          <cell r="C3">
            <v>1.05</v>
          </cell>
          <cell r="D3">
            <v>8.6300000000000008</v>
          </cell>
          <cell r="E3">
            <v>0.61</v>
          </cell>
          <cell r="F3">
            <v>0.86</v>
          </cell>
          <cell r="G3">
            <v>0.48</v>
          </cell>
          <cell r="H3" t="str">
            <v>Soft</v>
          </cell>
        </row>
        <row r="4">
          <cell r="A4" t="str">
            <v>Achnasheen</v>
          </cell>
          <cell r="B4">
            <v>1.5</v>
          </cell>
          <cell r="C4">
            <v>0.4</v>
          </cell>
          <cell r="D4">
            <v>5.39</v>
          </cell>
          <cell r="E4">
            <v>0.38</v>
          </cell>
          <cell r="F4">
            <v>0.54</v>
          </cell>
          <cell r="G4">
            <v>0.3</v>
          </cell>
          <cell r="H4" t="str">
            <v>Soft</v>
          </cell>
        </row>
        <row r="5">
          <cell r="A5" t="str">
            <v>Afton</v>
          </cell>
          <cell r="B5">
            <v>15.81</v>
          </cell>
          <cell r="C5">
            <v>0.96</v>
          </cell>
          <cell r="D5">
            <v>43.39</v>
          </cell>
          <cell r="E5">
            <v>3.04</v>
          </cell>
          <cell r="F5">
            <v>4.34</v>
          </cell>
          <cell r="G5">
            <v>2.4300000000000002</v>
          </cell>
          <cell r="H5" t="str">
            <v>Soft</v>
          </cell>
        </row>
        <row r="6">
          <cell r="A6" t="str">
            <v>Alexandria</v>
          </cell>
          <cell r="B6">
            <v>9.76</v>
          </cell>
          <cell r="C6">
            <v>1.1599999999999999</v>
          </cell>
          <cell r="D6">
            <v>29.12</v>
          </cell>
          <cell r="E6">
            <v>2.04</v>
          </cell>
          <cell r="F6">
            <v>2.91</v>
          </cell>
          <cell r="G6">
            <v>1.63</v>
          </cell>
          <cell r="H6" t="str">
            <v>Soft</v>
          </cell>
        </row>
        <row r="7">
          <cell r="A7" t="str">
            <v>Alligin</v>
          </cell>
          <cell r="B7">
            <v>1.9</v>
          </cell>
          <cell r="C7">
            <v>0.4</v>
          </cell>
          <cell r="D7">
            <v>6.39</v>
          </cell>
          <cell r="E7">
            <v>0.45</v>
          </cell>
          <cell r="F7">
            <v>0.64</v>
          </cell>
          <cell r="G7">
            <v>0.36</v>
          </cell>
          <cell r="H7" t="str">
            <v>Soft</v>
          </cell>
        </row>
        <row r="8">
          <cell r="A8" t="str">
            <v>Altnaharra</v>
          </cell>
          <cell r="B8">
            <v>3.1</v>
          </cell>
          <cell r="C8">
            <v>1</v>
          </cell>
          <cell r="D8">
            <v>11.85</v>
          </cell>
          <cell r="E8">
            <v>0.83</v>
          </cell>
          <cell r="F8">
            <v>1.18</v>
          </cell>
          <cell r="G8">
            <v>0.66</v>
          </cell>
          <cell r="H8" t="str">
            <v>Soft</v>
          </cell>
        </row>
        <row r="9">
          <cell r="A9" t="str">
            <v>Amlaird Milngavie Gorbals</v>
          </cell>
          <cell r="B9">
            <v>22.89</v>
          </cell>
          <cell r="C9">
            <v>1.07</v>
          </cell>
          <cell r="D9">
            <v>61.51</v>
          </cell>
          <cell r="E9">
            <v>4.32</v>
          </cell>
          <cell r="F9">
            <v>6.15</v>
          </cell>
          <cell r="G9">
            <v>3.45</v>
          </cell>
          <cell r="H9" t="str">
            <v>Moderately Soft</v>
          </cell>
        </row>
        <row r="10">
          <cell r="A10" t="str">
            <v>Applecross</v>
          </cell>
          <cell r="B10">
            <v>3.02</v>
          </cell>
          <cell r="C10">
            <v>0.92</v>
          </cell>
          <cell r="D10">
            <v>11.32</v>
          </cell>
          <cell r="E10">
            <v>0.79</v>
          </cell>
          <cell r="F10">
            <v>1.1299999999999999</v>
          </cell>
          <cell r="G10">
            <v>0.63</v>
          </cell>
          <cell r="H10" t="str">
            <v>Soft</v>
          </cell>
        </row>
        <row r="11">
          <cell r="A11" t="str">
            <v>Ardeonaig</v>
          </cell>
          <cell r="B11">
            <v>3</v>
          </cell>
          <cell r="C11">
            <v>0.6</v>
          </cell>
          <cell r="D11">
            <v>9.9499999999999993</v>
          </cell>
          <cell r="E11">
            <v>0.7</v>
          </cell>
          <cell r="F11">
            <v>1</v>
          </cell>
          <cell r="G11">
            <v>0.56000000000000005</v>
          </cell>
          <cell r="H11" t="str">
            <v>Soft</v>
          </cell>
        </row>
        <row r="12">
          <cell r="A12" t="str">
            <v>Ardfern</v>
          </cell>
          <cell r="B12">
            <v>6.58</v>
          </cell>
          <cell r="C12">
            <v>1.62</v>
          </cell>
          <cell r="D12">
            <v>23.08</v>
          </cell>
          <cell r="E12">
            <v>1.62</v>
          </cell>
          <cell r="F12">
            <v>2.31</v>
          </cell>
          <cell r="G12">
            <v>1.29</v>
          </cell>
          <cell r="H12" t="str">
            <v>Soft</v>
          </cell>
        </row>
        <row r="13">
          <cell r="A13" t="str">
            <v>Ardrishaig</v>
          </cell>
          <cell r="B13">
            <v>2.76</v>
          </cell>
          <cell r="C13">
            <v>0.86</v>
          </cell>
          <cell r="D13">
            <v>10.42</v>
          </cell>
          <cell r="E13">
            <v>0.73</v>
          </cell>
          <cell r="F13">
            <v>1.04</v>
          </cell>
          <cell r="G13">
            <v>0.57999999999999996</v>
          </cell>
          <cell r="H13" t="str">
            <v>Soft</v>
          </cell>
        </row>
        <row r="14">
          <cell r="A14" t="str">
            <v>Ardvourlie Western Isles</v>
          </cell>
          <cell r="B14">
            <v>4.8</v>
          </cell>
          <cell r="C14">
            <v>0.6</v>
          </cell>
          <cell r="D14">
            <v>14.44</v>
          </cell>
          <cell r="E14">
            <v>1.01</v>
          </cell>
          <cell r="F14">
            <v>1.44</v>
          </cell>
          <cell r="G14">
            <v>0.81</v>
          </cell>
          <cell r="H14" t="str">
            <v>Soft</v>
          </cell>
        </row>
        <row r="15">
          <cell r="A15" t="str">
            <v>Arinagour Coll</v>
          </cell>
          <cell r="B15">
            <v>2.9</v>
          </cell>
          <cell r="C15">
            <v>1.6</v>
          </cell>
          <cell r="D15">
            <v>13.81</v>
          </cell>
          <cell r="E15">
            <v>0.97</v>
          </cell>
          <cell r="F15">
            <v>1.38</v>
          </cell>
          <cell r="G15">
            <v>0.77</v>
          </cell>
          <cell r="H15" t="str">
            <v>Soft</v>
          </cell>
        </row>
        <row r="16">
          <cell r="A16" t="str">
            <v>Arnisdale</v>
          </cell>
          <cell r="B16">
            <v>15.6</v>
          </cell>
          <cell r="C16">
            <v>0.8</v>
          </cell>
          <cell r="D16">
            <v>42.21</v>
          </cell>
          <cell r="E16">
            <v>2.96</v>
          </cell>
          <cell r="F16">
            <v>4.22</v>
          </cell>
          <cell r="G16">
            <v>2.37</v>
          </cell>
          <cell r="H16" t="str">
            <v>Soft</v>
          </cell>
        </row>
        <row r="17">
          <cell r="A17" t="str">
            <v>Ascog Bute</v>
          </cell>
          <cell r="B17">
            <v>12.07</v>
          </cell>
          <cell r="C17">
            <v>2.73</v>
          </cell>
          <cell r="D17">
            <v>41.34</v>
          </cell>
          <cell r="E17">
            <v>2.9</v>
          </cell>
          <cell r="F17">
            <v>4.13</v>
          </cell>
          <cell r="G17">
            <v>2.3199999999999998</v>
          </cell>
          <cell r="H17" t="str">
            <v>Soft</v>
          </cell>
        </row>
        <row r="18">
          <cell r="A18" t="str">
            <v>Assynt</v>
          </cell>
          <cell r="B18">
            <v>4.16</v>
          </cell>
          <cell r="C18">
            <v>0.55000000000000004</v>
          </cell>
          <cell r="D18">
            <v>12.64</v>
          </cell>
          <cell r="E18">
            <v>0.89</v>
          </cell>
          <cell r="F18">
            <v>1.26</v>
          </cell>
          <cell r="G18">
            <v>0.71</v>
          </cell>
          <cell r="H18" t="str">
            <v>Soft</v>
          </cell>
        </row>
        <row r="19">
          <cell r="A19" t="str">
            <v>Auchneel</v>
          </cell>
          <cell r="B19">
            <v>10.36</v>
          </cell>
          <cell r="C19">
            <v>3.45</v>
          </cell>
          <cell r="D19">
            <v>40.03</v>
          </cell>
          <cell r="E19">
            <v>2.81</v>
          </cell>
          <cell r="F19">
            <v>4</v>
          </cell>
          <cell r="G19">
            <v>2.2400000000000002</v>
          </cell>
          <cell r="H19" t="str">
            <v>Soft</v>
          </cell>
        </row>
        <row r="20">
          <cell r="A20" t="str">
            <v>Aultbea</v>
          </cell>
          <cell r="B20">
            <v>1.9</v>
          </cell>
          <cell r="C20">
            <v>0.68</v>
          </cell>
          <cell r="D20">
            <v>7.54</v>
          </cell>
          <cell r="E20">
            <v>0.53</v>
          </cell>
          <cell r="F20">
            <v>0.75</v>
          </cell>
          <cell r="G20">
            <v>0.42</v>
          </cell>
          <cell r="H20" t="str">
            <v>Soft</v>
          </cell>
        </row>
        <row r="21">
          <cell r="A21" t="str">
            <v>Aviemore</v>
          </cell>
          <cell r="B21">
            <v>18.18</v>
          </cell>
          <cell r="C21">
            <v>3.01</v>
          </cell>
          <cell r="D21">
            <v>57.74</v>
          </cell>
          <cell r="E21">
            <v>4.05</v>
          </cell>
          <cell r="F21">
            <v>5.77</v>
          </cell>
          <cell r="G21">
            <v>3.23</v>
          </cell>
          <cell r="H21" t="str">
            <v>Moderately Soft</v>
          </cell>
        </row>
        <row r="22">
          <cell r="A22" t="str">
            <v>Backies</v>
          </cell>
          <cell r="B22">
            <v>3.9</v>
          </cell>
          <cell r="C22">
            <v>1.08</v>
          </cell>
          <cell r="D22">
            <v>14.17</v>
          </cell>
          <cell r="E22">
            <v>0.99</v>
          </cell>
          <cell r="F22">
            <v>1.42</v>
          </cell>
          <cell r="G22">
            <v>0.79</v>
          </cell>
          <cell r="H22" t="str">
            <v>Soft</v>
          </cell>
        </row>
        <row r="23">
          <cell r="A23" t="str">
            <v>Badachro</v>
          </cell>
          <cell r="B23">
            <v>2.23</v>
          </cell>
          <cell r="C23">
            <v>0.48</v>
          </cell>
          <cell r="D23">
            <v>7.54</v>
          </cell>
          <cell r="E23">
            <v>0.53</v>
          </cell>
          <cell r="F23">
            <v>0.75</v>
          </cell>
          <cell r="G23">
            <v>0.42</v>
          </cell>
          <cell r="H23" t="str">
            <v>Soft</v>
          </cell>
        </row>
        <row r="24">
          <cell r="A24" t="str">
            <v>Badcaul</v>
          </cell>
          <cell r="B24">
            <v>1.2</v>
          </cell>
          <cell r="C24">
            <v>0.45</v>
          </cell>
          <cell r="D24">
            <v>4.84</v>
          </cell>
          <cell r="E24">
            <v>0.34</v>
          </cell>
          <cell r="F24">
            <v>0.48</v>
          </cell>
          <cell r="G24">
            <v>0.27</v>
          </cell>
          <cell r="H24" t="str">
            <v>Soft</v>
          </cell>
        </row>
        <row r="25">
          <cell r="A25" t="str">
            <v>Badentinan</v>
          </cell>
          <cell r="B25">
            <v>28.84</v>
          </cell>
          <cell r="C25">
            <v>2.19</v>
          </cell>
          <cell r="D25">
            <v>80.959999999999994</v>
          </cell>
          <cell r="E25">
            <v>5.68</v>
          </cell>
          <cell r="F25">
            <v>8.1</v>
          </cell>
          <cell r="G25">
            <v>4.54</v>
          </cell>
          <cell r="H25" t="str">
            <v>Moderately Soft</v>
          </cell>
        </row>
        <row r="26">
          <cell r="A26" t="str">
            <v>Ballater</v>
          </cell>
          <cell r="B26">
            <v>7.62</v>
          </cell>
          <cell r="C26">
            <v>1.92</v>
          </cell>
          <cell r="D26">
            <v>26.91</v>
          </cell>
          <cell r="E26">
            <v>1.89</v>
          </cell>
          <cell r="F26">
            <v>2.69</v>
          </cell>
          <cell r="G26">
            <v>1.51</v>
          </cell>
          <cell r="H26" t="str">
            <v>Soft</v>
          </cell>
        </row>
        <row r="27">
          <cell r="A27" t="str">
            <v>Ballygrant Islay</v>
          </cell>
          <cell r="B27">
            <v>15.1</v>
          </cell>
          <cell r="C27">
            <v>4.4000000000000004</v>
          </cell>
          <cell r="D27">
            <v>55.77</v>
          </cell>
          <cell r="E27">
            <v>3.91</v>
          </cell>
          <cell r="F27">
            <v>5.58</v>
          </cell>
          <cell r="G27">
            <v>3.12</v>
          </cell>
          <cell r="H27" t="str">
            <v>Moderately Soft</v>
          </cell>
        </row>
        <row r="28">
          <cell r="A28" t="str">
            <v>Balmichael Arran</v>
          </cell>
          <cell r="B28">
            <v>31.7</v>
          </cell>
          <cell r="C28">
            <v>21.75</v>
          </cell>
          <cell r="D28">
            <v>168.53</v>
          </cell>
          <cell r="E28">
            <v>11.82</v>
          </cell>
          <cell r="F28">
            <v>16.850000000000001</v>
          </cell>
          <cell r="G28">
            <v>9.44</v>
          </cell>
          <cell r="H28" t="str">
            <v>Moderately Hard</v>
          </cell>
        </row>
        <row r="29">
          <cell r="A29" t="str">
            <v>Balmore A</v>
          </cell>
          <cell r="B29">
            <v>6.8</v>
          </cell>
          <cell r="C29">
            <v>0.72</v>
          </cell>
          <cell r="D29">
            <v>19.93</v>
          </cell>
          <cell r="E29">
            <v>1.4</v>
          </cell>
          <cell r="F29">
            <v>1.99</v>
          </cell>
          <cell r="G29">
            <v>1.1200000000000001</v>
          </cell>
          <cell r="H29" t="str">
            <v>Soft</v>
          </cell>
        </row>
        <row r="30">
          <cell r="A30" t="str">
            <v>Balmore B</v>
          </cell>
          <cell r="B30">
            <v>6.5</v>
          </cell>
          <cell r="C30">
            <v>0.66</v>
          </cell>
          <cell r="D30">
            <v>18.93</v>
          </cell>
          <cell r="E30">
            <v>1.33</v>
          </cell>
          <cell r="F30">
            <v>1.89</v>
          </cell>
          <cell r="G30">
            <v>1.06</v>
          </cell>
          <cell r="H30" t="str">
            <v>Soft</v>
          </cell>
        </row>
        <row r="31">
          <cell r="A31" t="str">
            <v>Balmore C</v>
          </cell>
          <cell r="B31">
            <v>6.59</v>
          </cell>
          <cell r="C31">
            <v>0.68</v>
          </cell>
          <cell r="D31">
            <v>19.239999999999998</v>
          </cell>
          <cell r="E31">
            <v>1.35</v>
          </cell>
          <cell r="F31">
            <v>1.92</v>
          </cell>
          <cell r="G31">
            <v>1.08</v>
          </cell>
          <cell r="H31" t="str">
            <v>Soft</v>
          </cell>
        </row>
        <row r="32">
          <cell r="A32" t="str">
            <v>Balmore C5 North</v>
          </cell>
          <cell r="B32">
            <v>6.76</v>
          </cell>
          <cell r="C32">
            <v>0.71</v>
          </cell>
          <cell r="D32">
            <v>19.79</v>
          </cell>
          <cell r="E32">
            <v>1.39</v>
          </cell>
          <cell r="F32">
            <v>1.98</v>
          </cell>
          <cell r="G32">
            <v>1.1100000000000001</v>
          </cell>
          <cell r="H32" t="str">
            <v>Soft</v>
          </cell>
        </row>
        <row r="33">
          <cell r="A33" t="str">
            <v>Balmore C5 South</v>
          </cell>
          <cell r="B33">
            <v>6.54</v>
          </cell>
          <cell r="C33">
            <v>0.66</v>
          </cell>
          <cell r="D33">
            <v>19.03</v>
          </cell>
          <cell r="E33">
            <v>1.34</v>
          </cell>
          <cell r="F33">
            <v>1.9</v>
          </cell>
          <cell r="G33">
            <v>1.07</v>
          </cell>
          <cell r="H33" t="str">
            <v>Soft</v>
          </cell>
        </row>
        <row r="34">
          <cell r="A34" t="str">
            <v>Balmore Carron Valley</v>
          </cell>
          <cell r="B34">
            <v>8.5299999999999994</v>
          </cell>
          <cell r="C34">
            <v>0.81</v>
          </cell>
          <cell r="D34">
            <v>24.61</v>
          </cell>
          <cell r="E34">
            <v>1.73</v>
          </cell>
          <cell r="F34">
            <v>2.46</v>
          </cell>
          <cell r="G34">
            <v>1.38</v>
          </cell>
          <cell r="H34" t="str">
            <v>Soft</v>
          </cell>
        </row>
        <row r="35">
          <cell r="A35" t="str">
            <v>Balmore Castlemilk</v>
          </cell>
          <cell r="B35">
            <v>6.6</v>
          </cell>
          <cell r="C35">
            <v>0.66</v>
          </cell>
          <cell r="D35">
            <v>19.18</v>
          </cell>
          <cell r="E35">
            <v>1.35</v>
          </cell>
          <cell r="F35">
            <v>1.92</v>
          </cell>
          <cell r="G35">
            <v>1.07</v>
          </cell>
          <cell r="H35" t="str">
            <v>Soft</v>
          </cell>
        </row>
        <row r="36">
          <cell r="A36" t="str">
            <v>Balmore D</v>
          </cell>
          <cell r="B36">
            <v>6.88</v>
          </cell>
          <cell r="C36">
            <v>0.74</v>
          </cell>
          <cell r="D36">
            <v>20.21</v>
          </cell>
          <cell r="E36">
            <v>1.42</v>
          </cell>
          <cell r="F36">
            <v>2.02</v>
          </cell>
          <cell r="G36">
            <v>1.1299999999999999</v>
          </cell>
          <cell r="H36" t="str">
            <v>Soft</v>
          </cell>
        </row>
        <row r="37">
          <cell r="A37" t="str">
            <v>Balmore E</v>
          </cell>
          <cell r="B37">
            <v>6.92</v>
          </cell>
          <cell r="C37">
            <v>0.7</v>
          </cell>
          <cell r="D37">
            <v>20.14</v>
          </cell>
          <cell r="E37">
            <v>1.41</v>
          </cell>
          <cell r="F37">
            <v>2.0099999999999998</v>
          </cell>
          <cell r="G37">
            <v>1.1299999999999999</v>
          </cell>
          <cell r="H37" t="str">
            <v>Soft</v>
          </cell>
        </row>
        <row r="38">
          <cell r="A38" t="str">
            <v>Balmore F</v>
          </cell>
          <cell r="B38">
            <v>6.8</v>
          </cell>
          <cell r="C38">
            <v>0.72</v>
          </cell>
          <cell r="D38">
            <v>19.93</v>
          </cell>
          <cell r="E38">
            <v>1.4</v>
          </cell>
          <cell r="F38">
            <v>1.99</v>
          </cell>
          <cell r="G38">
            <v>1.1200000000000001</v>
          </cell>
          <cell r="H38" t="str">
            <v>Soft</v>
          </cell>
        </row>
        <row r="39">
          <cell r="A39" t="str">
            <v>Balmore G</v>
          </cell>
          <cell r="B39">
            <v>7.1</v>
          </cell>
          <cell r="C39">
            <v>0.74</v>
          </cell>
          <cell r="D39">
            <v>20.76</v>
          </cell>
          <cell r="E39">
            <v>1.46</v>
          </cell>
          <cell r="F39">
            <v>2.08</v>
          </cell>
          <cell r="G39">
            <v>1.1599999999999999</v>
          </cell>
          <cell r="H39" t="str">
            <v>Soft</v>
          </cell>
        </row>
        <row r="40">
          <cell r="A40" t="str">
            <v>Balmore Legbrannock</v>
          </cell>
          <cell r="B40">
            <v>6.89</v>
          </cell>
          <cell r="C40">
            <v>0.71</v>
          </cell>
          <cell r="D40">
            <v>20.11</v>
          </cell>
          <cell r="E40">
            <v>1.41</v>
          </cell>
          <cell r="F40">
            <v>2.0099999999999998</v>
          </cell>
          <cell r="G40">
            <v>1.1299999999999999</v>
          </cell>
          <cell r="H40" t="str">
            <v>Soft</v>
          </cell>
        </row>
        <row r="41">
          <cell r="A41" t="str">
            <v>Balquidder</v>
          </cell>
          <cell r="B41">
            <v>5.58</v>
          </cell>
          <cell r="C41">
            <v>0.6</v>
          </cell>
          <cell r="D41">
            <v>16.39</v>
          </cell>
          <cell r="E41">
            <v>1.1499999999999999</v>
          </cell>
          <cell r="F41">
            <v>1.64</v>
          </cell>
          <cell r="G41">
            <v>0.92</v>
          </cell>
          <cell r="H41" t="str">
            <v>Soft</v>
          </cell>
        </row>
        <row r="42">
          <cell r="A42" t="str">
            <v>Barra Western Isles</v>
          </cell>
          <cell r="B42">
            <v>3.48</v>
          </cell>
          <cell r="C42">
            <v>2.95</v>
          </cell>
          <cell r="D42">
            <v>20.81</v>
          </cell>
          <cell r="E42">
            <v>1.46</v>
          </cell>
          <cell r="F42">
            <v>2.08</v>
          </cell>
          <cell r="G42">
            <v>1.17</v>
          </cell>
          <cell r="H42" t="str">
            <v>Soft</v>
          </cell>
        </row>
        <row r="43">
          <cell r="A43" t="str">
            <v>Belmore</v>
          </cell>
          <cell r="B43">
            <v>7.64</v>
          </cell>
          <cell r="C43">
            <v>0.54</v>
          </cell>
          <cell r="D43">
            <v>21.28</v>
          </cell>
          <cell r="E43">
            <v>1.49</v>
          </cell>
          <cell r="F43">
            <v>2.13</v>
          </cell>
          <cell r="G43">
            <v>1.19</v>
          </cell>
          <cell r="H43" t="str">
            <v>Soft</v>
          </cell>
        </row>
        <row r="44">
          <cell r="A44" t="str">
            <v>Benbecula Western Isles</v>
          </cell>
          <cell r="B44">
            <v>3.48</v>
          </cell>
          <cell r="C44">
            <v>2.77</v>
          </cell>
          <cell r="D44">
            <v>20.07</v>
          </cell>
          <cell r="E44">
            <v>1.41</v>
          </cell>
          <cell r="F44">
            <v>2.0099999999999998</v>
          </cell>
          <cell r="G44">
            <v>1.1200000000000001</v>
          </cell>
          <cell r="H44" t="str">
            <v>Soft</v>
          </cell>
        </row>
        <row r="45">
          <cell r="A45" t="str">
            <v>Black Esk</v>
          </cell>
          <cell r="B45">
            <v>22.15</v>
          </cell>
          <cell r="C45">
            <v>3.26</v>
          </cell>
          <cell r="D45">
            <v>68.67</v>
          </cell>
          <cell r="E45">
            <v>4.82</v>
          </cell>
          <cell r="F45">
            <v>6.87</v>
          </cell>
          <cell r="G45">
            <v>3.85</v>
          </cell>
          <cell r="H45" t="str">
            <v>Moderately Soft</v>
          </cell>
        </row>
        <row r="46">
          <cell r="A46" t="str">
            <v>Black Esk Winterhope</v>
          </cell>
          <cell r="B46">
            <v>10.55</v>
          </cell>
          <cell r="C46">
            <v>3.1</v>
          </cell>
          <cell r="D46">
            <v>39.07</v>
          </cell>
          <cell r="E46">
            <v>2.74</v>
          </cell>
          <cell r="F46">
            <v>3.91</v>
          </cell>
          <cell r="G46">
            <v>2.19</v>
          </cell>
          <cell r="H46" t="str">
            <v>Soft</v>
          </cell>
        </row>
        <row r="47">
          <cell r="A47" t="str">
            <v>Blairlinnans North</v>
          </cell>
          <cell r="B47">
            <v>8.8000000000000007</v>
          </cell>
          <cell r="C47">
            <v>1.08</v>
          </cell>
          <cell r="D47">
            <v>26.4</v>
          </cell>
          <cell r="E47">
            <v>1.85</v>
          </cell>
          <cell r="F47">
            <v>2.64</v>
          </cell>
          <cell r="G47">
            <v>1.48</v>
          </cell>
          <cell r="H47" t="str">
            <v>Soft</v>
          </cell>
        </row>
        <row r="48">
          <cell r="A48" t="str">
            <v>Blairlinnans South</v>
          </cell>
          <cell r="B48">
            <v>8.44</v>
          </cell>
          <cell r="C48">
            <v>1.08</v>
          </cell>
          <cell r="D48">
            <v>25.5</v>
          </cell>
          <cell r="E48">
            <v>1.79</v>
          </cell>
          <cell r="F48">
            <v>2.5499999999999998</v>
          </cell>
          <cell r="G48">
            <v>1.43</v>
          </cell>
          <cell r="H48" t="str">
            <v>Soft</v>
          </cell>
        </row>
        <row r="49">
          <cell r="A49" t="str">
            <v>Blairnamarrow</v>
          </cell>
          <cell r="B49">
            <v>35.520000000000003</v>
          </cell>
          <cell r="C49">
            <v>1.55</v>
          </cell>
          <cell r="D49">
            <v>95</v>
          </cell>
          <cell r="E49">
            <v>6.66</v>
          </cell>
          <cell r="F49">
            <v>9.5</v>
          </cell>
          <cell r="G49">
            <v>5.32</v>
          </cell>
          <cell r="H49" t="str">
            <v>Moderately Soft</v>
          </cell>
        </row>
        <row r="50">
          <cell r="A50" t="str">
            <v>Boardhouse Orkney</v>
          </cell>
          <cell r="B50">
            <v>30.84</v>
          </cell>
          <cell r="C50">
            <v>9.34</v>
          </cell>
          <cell r="D50">
            <v>115.35</v>
          </cell>
          <cell r="E50">
            <v>8.09</v>
          </cell>
          <cell r="F50">
            <v>11.54</v>
          </cell>
          <cell r="G50">
            <v>6.46</v>
          </cell>
          <cell r="H50" t="str">
            <v>Slightly Hard</v>
          </cell>
        </row>
        <row r="51">
          <cell r="A51" t="str">
            <v>Bonar Bridge</v>
          </cell>
          <cell r="B51">
            <v>3.02</v>
          </cell>
          <cell r="C51">
            <v>0.55000000000000004</v>
          </cell>
          <cell r="D51">
            <v>9.8000000000000007</v>
          </cell>
          <cell r="E51">
            <v>0.69</v>
          </cell>
          <cell r="F51">
            <v>0.98</v>
          </cell>
          <cell r="G51">
            <v>0.55000000000000004</v>
          </cell>
          <cell r="H51" t="str">
            <v>Soft</v>
          </cell>
        </row>
        <row r="52">
          <cell r="A52" t="str">
            <v>Bonnycraig</v>
          </cell>
          <cell r="B52">
            <v>2.77</v>
          </cell>
          <cell r="C52">
            <v>0.96</v>
          </cell>
          <cell r="D52">
            <v>10.86</v>
          </cell>
          <cell r="E52">
            <v>0.76</v>
          </cell>
          <cell r="F52">
            <v>1.0900000000000001</v>
          </cell>
          <cell r="G52">
            <v>0.61</v>
          </cell>
          <cell r="H52" t="str">
            <v>Soft</v>
          </cell>
        </row>
        <row r="53">
          <cell r="A53" t="str">
            <v>Bracadale Skye</v>
          </cell>
          <cell r="B53">
            <v>2.6</v>
          </cell>
          <cell r="C53">
            <v>1.57</v>
          </cell>
          <cell r="D53">
            <v>12.94</v>
          </cell>
          <cell r="E53">
            <v>0.91</v>
          </cell>
          <cell r="F53">
            <v>1.29</v>
          </cell>
          <cell r="G53">
            <v>0.73</v>
          </cell>
          <cell r="H53" t="str">
            <v>Soft</v>
          </cell>
        </row>
        <row r="54">
          <cell r="A54" t="str">
            <v>Bradan B</v>
          </cell>
          <cell r="B54">
            <v>9.43</v>
          </cell>
          <cell r="C54">
            <v>0.7</v>
          </cell>
          <cell r="D54">
            <v>26.41</v>
          </cell>
          <cell r="E54">
            <v>1.85</v>
          </cell>
          <cell r="F54">
            <v>2.64</v>
          </cell>
          <cell r="G54">
            <v>1.48</v>
          </cell>
          <cell r="H54" t="str">
            <v>Soft</v>
          </cell>
        </row>
        <row r="55">
          <cell r="A55" t="str">
            <v>Bradan C</v>
          </cell>
          <cell r="B55">
            <v>9.4</v>
          </cell>
          <cell r="C55">
            <v>0.7</v>
          </cell>
          <cell r="D55">
            <v>26.33</v>
          </cell>
          <cell r="E55">
            <v>1.85</v>
          </cell>
          <cell r="F55">
            <v>2.63</v>
          </cell>
          <cell r="G55">
            <v>1.48</v>
          </cell>
          <cell r="H55" t="str">
            <v>Soft</v>
          </cell>
        </row>
        <row r="56">
          <cell r="A56" t="str">
            <v>Bradan Milngavie Gorbals</v>
          </cell>
          <cell r="B56">
            <v>9.61</v>
          </cell>
          <cell r="C56">
            <v>0.7</v>
          </cell>
          <cell r="D56">
            <v>26.86</v>
          </cell>
          <cell r="E56">
            <v>1.88</v>
          </cell>
          <cell r="F56">
            <v>2.69</v>
          </cell>
          <cell r="G56">
            <v>1.5</v>
          </cell>
          <cell r="H56" t="str">
            <v>Soft</v>
          </cell>
        </row>
        <row r="57">
          <cell r="A57" t="str">
            <v>Braemar</v>
          </cell>
          <cell r="B57">
            <v>4.45</v>
          </cell>
          <cell r="C57">
            <v>1.32</v>
          </cell>
          <cell r="D57">
            <v>16.53</v>
          </cell>
          <cell r="E57">
            <v>1.1599999999999999</v>
          </cell>
          <cell r="F57">
            <v>1.65</v>
          </cell>
          <cell r="G57">
            <v>0.93</v>
          </cell>
          <cell r="H57" t="str">
            <v>Soft</v>
          </cell>
        </row>
        <row r="58">
          <cell r="A58" t="str">
            <v>Brig O Turk</v>
          </cell>
          <cell r="B58">
            <v>1.88</v>
          </cell>
          <cell r="C58">
            <v>0.48</v>
          </cell>
          <cell r="D58">
            <v>6.66</v>
          </cell>
          <cell r="E58">
            <v>0.47</v>
          </cell>
          <cell r="F58">
            <v>0.67</v>
          </cell>
          <cell r="G58">
            <v>0.37</v>
          </cell>
          <cell r="H58" t="str">
            <v>Soft</v>
          </cell>
        </row>
        <row r="59">
          <cell r="A59" t="str">
            <v>Broadford Mid Skye</v>
          </cell>
          <cell r="B59">
            <v>11.93</v>
          </cell>
          <cell r="C59">
            <v>2.23</v>
          </cell>
          <cell r="D59">
            <v>38.94</v>
          </cell>
          <cell r="E59">
            <v>2.73</v>
          </cell>
          <cell r="F59">
            <v>3.89</v>
          </cell>
          <cell r="G59">
            <v>2.1800000000000002</v>
          </cell>
          <cell r="H59" t="str">
            <v>Soft</v>
          </cell>
        </row>
        <row r="60">
          <cell r="A60" t="str">
            <v>Broadford Skye</v>
          </cell>
          <cell r="B60">
            <v>10.82</v>
          </cell>
          <cell r="C60">
            <v>2.23</v>
          </cell>
          <cell r="D60">
            <v>36.17</v>
          </cell>
          <cell r="E60">
            <v>2.54</v>
          </cell>
          <cell r="F60">
            <v>3.62</v>
          </cell>
          <cell r="G60">
            <v>2.0299999999999998</v>
          </cell>
          <cell r="H60" t="str">
            <v>Soft</v>
          </cell>
        </row>
        <row r="61">
          <cell r="A61" t="str">
            <v>Bunessan Mull</v>
          </cell>
          <cell r="B61">
            <v>2.9</v>
          </cell>
          <cell r="C61">
            <v>1.9</v>
          </cell>
          <cell r="D61">
            <v>15.05</v>
          </cell>
          <cell r="E61">
            <v>1.06</v>
          </cell>
          <cell r="F61">
            <v>1.5</v>
          </cell>
          <cell r="G61">
            <v>0.84</v>
          </cell>
          <cell r="H61" t="str">
            <v>Soft</v>
          </cell>
        </row>
        <row r="62">
          <cell r="A62" t="str">
            <v>Burncrooks</v>
          </cell>
          <cell r="B62">
            <v>16.75</v>
          </cell>
          <cell r="C62">
            <v>0.96</v>
          </cell>
          <cell r="D62">
            <v>45.74</v>
          </cell>
          <cell r="E62">
            <v>3.21</v>
          </cell>
          <cell r="F62">
            <v>4.57</v>
          </cell>
          <cell r="G62">
            <v>2.56</v>
          </cell>
          <cell r="H62" t="str">
            <v>Soft</v>
          </cell>
        </row>
        <row r="63">
          <cell r="A63" t="str">
            <v>Burncrooks &amp; Blairlinnans</v>
          </cell>
          <cell r="B63">
            <v>16.899999999999999</v>
          </cell>
          <cell r="C63">
            <v>0.98</v>
          </cell>
          <cell r="D63">
            <v>46.2</v>
          </cell>
          <cell r="E63">
            <v>3.24</v>
          </cell>
          <cell r="F63">
            <v>4.62</v>
          </cell>
          <cell r="G63">
            <v>2.59</v>
          </cell>
          <cell r="H63" t="str">
            <v>Soft</v>
          </cell>
        </row>
        <row r="64">
          <cell r="A64" t="str">
            <v>Campbeltown</v>
          </cell>
          <cell r="B64">
            <v>15.99</v>
          </cell>
          <cell r="C64">
            <v>3.79</v>
          </cell>
          <cell r="D64">
            <v>55.48</v>
          </cell>
          <cell r="E64">
            <v>3.89</v>
          </cell>
          <cell r="F64">
            <v>5.55</v>
          </cell>
          <cell r="G64">
            <v>3.11</v>
          </cell>
          <cell r="H64" t="str">
            <v>Moderately Soft</v>
          </cell>
        </row>
        <row r="65">
          <cell r="A65" t="str">
            <v>Camphill</v>
          </cell>
          <cell r="B65">
            <v>14.76</v>
          </cell>
          <cell r="C65">
            <v>1.07</v>
          </cell>
          <cell r="D65">
            <v>41.23</v>
          </cell>
          <cell r="E65">
            <v>2.89</v>
          </cell>
          <cell r="F65">
            <v>4.12</v>
          </cell>
          <cell r="G65">
            <v>2.31</v>
          </cell>
          <cell r="H65" t="str">
            <v>Soft</v>
          </cell>
        </row>
        <row r="66">
          <cell r="A66" t="str">
            <v>Camps</v>
          </cell>
          <cell r="B66">
            <v>12.29</v>
          </cell>
          <cell r="C66">
            <v>2.34</v>
          </cell>
          <cell r="D66">
            <v>40.29</v>
          </cell>
          <cell r="E66">
            <v>2.83</v>
          </cell>
          <cell r="F66">
            <v>4.03</v>
          </cell>
          <cell r="G66">
            <v>2.2599999999999998</v>
          </cell>
          <cell r="H66" t="str">
            <v>Soft</v>
          </cell>
        </row>
        <row r="67">
          <cell r="A67" t="str">
            <v>Carbost Skye</v>
          </cell>
          <cell r="B67">
            <v>3.55</v>
          </cell>
          <cell r="C67">
            <v>1.3</v>
          </cell>
          <cell r="D67">
            <v>14.2</v>
          </cell>
          <cell r="E67">
            <v>1</v>
          </cell>
          <cell r="F67">
            <v>1.42</v>
          </cell>
          <cell r="G67">
            <v>0.8</v>
          </cell>
          <cell r="H67" t="str">
            <v>Soft</v>
          </cell>
        </row>
        <row r="68">
          <cell r="A68" t="str">
            <v>Cargen</v>
          </cell>
          <cell r="B68">
            <v>45.67</v>
          </cell>
          <cell r="C68">
            <v>22.15</v>
          </cell>
          <cell r="D68">
            <v>205.03</v>
          </cell>
          <cell r="E68">
            <v>14.38</v>
          </cell>
          <cell r="F68">
            <v>20.5</v>
          </cell>
          <cell r="G68">
            <v>11.49</v>
          </cell>
          <cell r="H68" t="str">
            <v>Moderately Hard</v>
          </cell>
        </row>
        <row r="69">
          <cell r="A69" t="str">
            <v>Carradale</v>
          </cell>
          <cell r="B69">
            <v>12.4</v>
          </cell>
          <cell r="C69">
            <v>2.23</v>
          </cell>
          <cell r="D69">
            <v>40.11</v>
          </cell>
          <cell r="E69">
            <v>2.81</v>
          </cell>
          <cell r="F69">
            <v>4.01</v>
          </cell>
          <cell r="G69">
            <v>2.25</v>
          </cell>
          <cell r="H69" t="str">
            <v>Soft</v>
          </cell>
        </row>
        <row r="70">
          <cell r="A70" t="str">
            <v>Carrick Castle</v>
          </cell>
          <cell r="B70">
            <v>1.3</v>
          </cell>
          <cell r="C70">
            <v>0.4</v>
          </cell>
          <cell r="D70">
            <v>4.8899999999999997</v>
          </cell>
          <cell r="E70">
            <v>0.34</v>
          </cell>
          <cell r="F70">
            <v>0.49</v>
          </cell>
          <cell r="G70">
            <v>0.27</v>
          </cell>
          <cell r="H70" t="str">
            <v>Soft</v>
          </cell>
        </row>
        <row r="71">
          <cell r="A71" t="str">
            <v>Carron Valley &amp; Turret</v>
          </cell>
          <cell r="B71">
            <v>11.2</v>
          </cell>
          <cell r="C71">
            <v>1</v>
          </cell>
          <cell r="D71">
            <v>32.06</v>
          </cell>
          <cell r="E71">
            <v>2.25</v>
          </cell>
          <cell r="F71">
            <v>3.21</v>
          </cell>
          <cell r="G71">
            <v>1.8</v>
          </cell>
          <cell r="H71" t="str">
            <v>Soft</v>
          </cell>
        </row>
        <row r="72">
          <cell r="A72" t="str">
            <v>Carron Valley A</v>
          </cell>
          <cell r="B72">
            <v>13</v>
          </cell>
          <cell r="C72">
            <v>1.1000000000000001</v>
          </cell>
          <cell r="D72">
            <v>36.96</v>
          </cell>
          <cell r="E72">
            <v>2.59</v>
          </cell>
          <cell r="F72">
            <v>3.7</v>
          </cell>
          <cell r="G72">
            <v>2.0699999999999998</v>
          </cell>
          <cell r="H72" t="str">
            <v>Soft</v>
          </cell>
        </row>
        <row r="73">
          <cell r="A73" t="str">
            <v>Carron Valley B</v>
          </cell>
          <cell r="B73">
            <v>13.18</v>
          </cell>
          <cell r="C73">
            <v>1.1399999999999999</v>
          </cell>
          <cell r="D73">
            <v>37.57</v>
          </cell>
          <cell r="E73">
            <v>2.64</v>
          </cell>
          <cell r="F73">
            <v>3.76</v>
          </cell>
          <cell r="G73">
            <v>2.11</v>
          </cell>
          <cell r="H73" t="str">
            <v>Soft</v>
          </cell>
        </row>
        <row r="74">
          <cell r="A74" t="str">
            <v>Carsphairn</v>
          </cell>
          <cell r="B74">
            <v>1.5</v>
          </cell>
          <cell r="C74">
            <v>1.2</v>
          </cell>
          <cell r="D74">
            <v>8.68</v>
          </cell>
          <cell r="E74">
            <v>0.61</v>
          </cell>
          <cell r="F74">
            <v>0.87</v>
          </cell>
          <cell r="G74">
            <v>0.49</v>
          </cell>
          <cell r="H74" t="str">
            <v>Soft</v>
          </cell>
        </row>
        <row r="75">
          <cell r="A75" t="str">
            <v>Castle Moffat</v>
          </cell>
          <cell r="B75">
            <v>19.11</v>
          </cell>
          <cell r="C75">
            <v>5.01</v>
          </cell>
          <cell r="D75">
            <v>68.28</v>
          </cell>
          <cell r="E75">
            <v>4.79</v>
          </cell>
          <cell r="F75">
            <v>6.83</v>
          </cell>
          <cell r="G75">
            <v>3.83</v>
          </cell>
          <cell r="H75" t="str">
            <v>Moderately Soft</v>
          </cell>
        </row>
        <row r="76">
          <cell r="A76" t="str">
            <v>Claddich</v>
          </cell>
          <cell r="B76">
            <v>6.7</v>
          </cell>
          <cell r="C76">
            <v>0.9</v>
          </cell>
          <cell r="D76">
            <v>20.420000000000002</v>
          </cell>
          <cell r="E76">
            <v>1.43</v>
          </cell>
          <cell r="F76">
            <v>2.04</v>
          </cell>
          <cell r="G76">
            <v>1.1399999999999999</v>
          </cell>
          <cell r="H76" t="str">
            <v>Soft</v>
          </cell>
        </row>
        <row r="77">
          <cell r="A77" t="str">
            <v>Clatto East</v>
          </cell>
          <cell r="B77">
            <v>9.49</v>
          </cell>
          <cell r="C77">
            <v>1.71</v>
          </cell>
          <cell r="D77">
            <v>30.71</v>
          </cell>
          <cell r="E77">
            <v>2.15</v>
          </cell>
          <cell r="F77">
            <v>3.07</v>
          </cell>
          <cell r="G77">
            <v>1.72</v>
          </cell>
          <cell r="H77" t="str">
            <v>Soft</v>
          </cell>
        </row>
        <row r="78">
          <cell r="A78" t="str">
            <v>Clatto West A</v>
          </cell>
          <cell r="B78">
            <v>9.9499999999999993</v>
          </cell>
          <cell r="C78">
            <v>1.75</v>
          </cell>
          <cell r="D78">
            <v>32.020000000000003</v>
          </cell>
          <cell r="E78">
            <v>2.25</v>
          </cell>
          <cell r="F78">
            <v>3.2</v>
          </cell>
          <cell r="G78">
            <v>1.79</v>
          </cell>
          <cell r="H78" t="str">
            <v>Soft</v>
          </cell>
        </row>
        <row r="79">
          <cell r="A79" t="str">
            <v>Clatto West B</v>
          </cell>
          <cell r="B79">
            <v>9.8800000000000008</v>
          </cell>
          <cell r="C79">
            <v>1.73</v>
          </cell>
          <cell r="D79">
            <v>31.76</v>
          </cell>
          <cell r="E79">
            <v>2.23</v>
          </cell>
          <cell r="F79">
            <v>3.18</v>
          </cell>
          <cell r="G79">
            <v>1.78</v>
          </cell>
          <cell r="H79" t="str">
            <v>Soft</v>
          </cell>
        </row>
        <row r="80">
          <cell r="A80" t="str">
            <v>Cliasmol Western Isles</v>
          </cell>
          <cell r="B80">
            <v>5.3</v>
          </cell>
          <cell r="C80">
            <v>1.4</v>
          </cell>
          <cell r="D80">
            <v>18.98</v>
          </cell>
          <cell r="E80">
            <v>1.33</v>
          </cell>
          <cell r="F80">
            <v>1.9</v>
          </cell>
          <cell r="G80">
            <v>1.06</v>
          </cell>
          <cell r="H80" t="str">
            <v>Soft</v>
          </cell>
        </row>
        <row r="81">
          <cell r="A81" t="str">
            <v>Colonsay</v>
          </cell>
          <cell r="B81">
            <v>3.9</v>
          </cell>
          <cell r="C81">
            <v>2.0499999999999998</v>
          </cell>
          <cell r="D81">
            <v>18.16</v>
          </cell>
          <cell r="E81">
            <v>1.27</v>
          </cell>
          <cell r="F81">
            <v>1.82</v>
          </cell>
          <cell r="G81">
            <v>1.02</v>
          </cell>
          <cell r="H81" t="str">
            <v>Soft</v>
          </cell>
        </row>
        <row r="82">
          <cell r="A82" t="str">
            <v>Corrie Arran</v>
          </cell>
          <cell r="B82">
            <v>2.02</v>
          </cell>
          <cell r="C82">
            <v>0.4</v>
          </cell>
          <cell r="D82">
            <v>6.68</v>
          </cell>
          <cell r="E82">
            <v>0.47</v>
          </cell>
          <cell r="F82">
            <v>0.67</v>
          </cell>
          <cell r="G82">
            <v>0.37</v>
          </cell>
          <cell r="H82" t="str">
            <v>Soft</v>
          </cell>
        </row>
        <row r="83">
          <cell r="A83" t="str">
            <v>Coulter</v>
          </cell>
          <cell r="B83">
            <v>8.57</v>
          </cell>
          <cell r="C83">
            <v>2.15</v>
          </cell>
          <cell r="D83">
            <v>30.22</v>
          </cell>
          <cell r="E83">
            <v>2.12</v>
          </cell>
          <cell r="F83">
            <v>3.02</v>
          </cell>
          <cell r="G83">
            <v>1.69</v>
          </cell>
          <cell r="H83" t="str">
            <v>Soft</v>
          </cell>
        </row>
        <row r="84">
          <cell r="A84" t="str">
            <v>Craighead</v>
          </cell>
          <cell r="B84">
            <v>12.47</v>
          </cell>
          <cell r="C84">
            <v>3.67</v>
          </cell>
          <cell r="D84">
            <v>46.2</v>
          </cell>
          <cell r="E84">
            <v>3.24</v>
          </cell>
          <cell r="F84">
            <v>4.62</v>
          </cell>
          <cell r="G84">
            <v>2.59</v>
          </cell>
          <cell r="H84" t="str">
            <v>Soft</v>
          </cell>
        </row>
        <row r="85">
          <cell r="A85" t="str">
            <v>Craighouse Jura</v>
          </cell>
          <cell r="B85">
            <v>2.48</v>
          </cell>
          <cell r="C85">
            <v>0.65</v>
          </cell>
          <cell r="D85">
            <v>8.86</v>
          </cell>
          <cell r="E85">
            <v>0.62</v>
          </cell>
          <cell r="F85">
            <v>0.89</v>
          </cell>
          <cell r="G85">
            <v>0.5</v>
          </cell>
          <cell r="H85" t="str">
            <v>Soft</v>
          </cell>
        </row>
        <row r="86">
          <cell r="A86" t="str">
            <v>Craigie</v>
          </cell>
          <cell r="B86">
            <v>8.66</v>
          </cell>
          <cell r="C86">
            <v>1.45</v>
          </cell>
          <cell r="D86">
            <v>27.57</v>
          </cell>
          <cell r="E86">
            <v>1.93</v>
          </cell>
          <cell r="F86">
            <v>2.76</v>
          </cell>
          <cell r="G86">
            <v>1.54</v>
          </cell>
          <cell r="H86" t="str">
            <v>Soft</v>
          </cell>
        </row>
        <row r="87">
          <cell r="A87" t="str">
            <v>Crathie</v>
          </cell>
          <cell r="B87">
            <v>4.9000000000000004</v>
          </cell>
          <cell r="C87">
            <v>1.1000000000000001</v>
          </cell>
          <cell r="D87">
            <v>16.75</v>
          </cell>
          <cell r="E87">
            <v>1.18</v>
          </cell>
          <cell r="F87">
            <v>1.67</v>
          </cell>
          <cell r="G87">
            <v>0.94</v>
          </cell>
          <cell r="H87" t="str">
            <v>Soft</v>
          </cell>
        </row>
        <row r="88">
          <cell r="A88" t="str">
            <v>Crianlarich</v>
          </cell>
          <cell r="B88">
            <v>1.43</v>
          </cell>
          <cell r="C88">
            <v>0.4</v>
          </cell>
          <cell r="D88">
            <v>5.21</v>
          </cell>
          <cell r="E88">
            <v>0.37</v>
          </cell>
          <cell r="F88">
            <v>0.52</v>
          </cell>
          <cell r="G88">
            <v>0.28999999999999998</v>
          </cell>
          <cell r="H88" t="str">
            <v>Soft</v>
          </cell>
        </row>
        <row r="89">
          <cell r="A89" t="str">
            <v>Daer A</v>
          </cell>
          <cell r="B89">
            <v>11.45</v>
          </cell>
          <cell r="C89">
            <v>1.1100000000000001</v>
          </cell>
          <cell r="D89">
            <v>33.130000000000003</v>
          </cell>
          <cell r="E89">
            <v>2.3199999999999998</v>
          </cell>
          <cell r="F89">
            <v>3.31</v>
          </cell>
          <cell r="G89">
            <v>1.86</v>
          </cell>
          <cell r="H89" t="str">
            <v>Soft</v>
          </cell>
        </row>
        <row r="90">
          <cell r="A90" t="str">
            <v>Daer B</v>
          </cell>
          <cell r="B90">
            <v>11.39</v>
          </cell>
          <cell r="C90">
            <v>1</v>
          </cell>
          <cell r="D90">
            <v>32.53</v>
          </cell>
          <cell r="E90">
            <v>2.2799999999999998</v>
          </cell>
          <cell r="F90">
            <v>3.25</v>
          </cell>
          <cell r="G90">
            <v>1.82</v>
          </cell>
          <cell r="H90" t="str">
            <v>Soft</v>
          </cell>
        </row>
        <row r="91">
          <cell r="A91" t="str">
            <v>Daer C</v>
          </cell>
          <cell r="B91">
            <v>11.24</v>
          </cell>
          <cell r="C91">
            <v>0.95</v>
          </cell>
          <cell r="D91">
            <v>31.95</v>
          </cell>
          <cell r="E91">
            <v>2.2400000000000002</v>
          </cell>
          <cell r="F91">
            <v>3.2</v>
          </cell>
          <cell r="G91">
            <v>1.79</v>
          </cell>
          <cell r="H91" t="str">
            <v>Soft</v>
          </cell>
        </row>
        <row r="92">
          <cell r="A92" t="str">
            <v>Daer Camps A</v>
          </cell>
          <cell r="B92">
            <v>11.5</v>
          </cell>
          <cell r="C92">
            <v>1.47</v>
          </cell>
          <cell r="D92">
            <v>34.74</v>
          </cell>
          <cell r="E92">
            <v>2.44</v>
          </cell>
          <cell r="F92">
            <v>3.47</v>
          </cell>
          <cell r="G92">
            <v>1.95</v>
          </cell>
          <cell r="H92" t="str">
            <v>Soft</v>
          </cell>
        </row>
        <row r="93">
          <cell r="A93" t="str">
            <v>Daer Camps B</v>
          </cell>
          <cell r="B93">
            <v>11.4</v>
          </cell>
          <cell r="C93">
            <v>1.18</v>
          </cell>
          <cell r="D93">
            <v>33.299999999999997</v>
          </cell>
          <cell r="E93">
            <v>2.34</v>
          </cell>
          <cell r="F93">
            <v>3.33</v>
          </cell>
          <cell r="G93">
            <v>1.87</v>
          </cell>
          <cell r="H93" t="str">
            <v>Soft</v>
          </cell>
        </row>
        <row r="94">
          <cell r="A94" t="str">
            <v>Dalmally</v>
          </cell>
          <cell r="B94">
            <v>1.35</v>
          </cell>
          <cell r="C94">
            <v>1.1499999999999999</v>
          </cell>
          <cell r="D94">
            <v>8.1</v>
          </cell>
          <cell r="E94">
            <v>0.56999999999999995</v>
          </cell>
          <cell r="F94">
            <v>0.81</v>
          </cell>
          <cell r="G94">
            <v>0.45</v>
          </cell>
          <cell r="H94" t="str">
            <v>Soft</v>
          </cell>
        </row>
        <row r="95">
          <cell r="A95" t="str">
            <v>Dalwhinnie</v>
          </cell>
          <cell r="B95">
            <v>20.9</v>
          </cell>
          <cell r="C95">
            <v>0.8</v>
          </cell>
          <cell r="D95">
            <v>55.44</v>
          </cell>
          <cell r="E95">
            <v>3.89</v>
          </cell>
          <cell r="F95">
            <v>5.54</v>
          </cell>
          <cell r="G95">
            <v>3.11</v>
          </cell>
          <cell r="H95" t="str">
            <v>Moderately Soft</v>
          </cell>
        </row>
        <row r="96">
          <cell r="A96" t="str">
            <v>Dervaig Mull</v>
          </cell>
          <cell r="B96">
            <v>2.25</v>
          </cell>
          <cell r="C96">
            <v>1.75</v>
          </cell>
          <cell r="D96">
            <v>12.81</v>
          </cell>
          <cell r="E96">
            <v>0.9</v>
          </cell>
          <cell r="F96">
            <v>1.28</v>
          </cell>
          <cell r="G96">
            <v>0.72</v>
          </cell>
          <cell r="H96" t="str">
            <v>Soft</v>
          </cell>
        </row>
        <row r="97">
          <cell r="A97" t="str">
            <v>Dhu Loch Bute</v>
          </cell>
          <cell r="B97">
            <v>4</v>
          </cell>
          <cell r="C97">
            <v>1.7</v>
          </cell>
          <cell r="D97">
            <v>16.97</v>
          </cell>
          <cell r="E97">
            <v>1.19</v>
          </cell>
          <cell r="F97">
            <v>1.7</v>
          </cell>
          <cell r="G97">
            <v>0.95</v>
          </cell>
          <cell r="H97" t="str">
            <v>Soft</v>
          </cell>
        </row>
        <row r="98">
          <cell r="A98" t="str">
            <v>Diabeg</v>
          </cell>
          <cell r="B98">
            <v>3.2</v>
          </cell>
          <cell r="C98">
            <v>0.8</v>
          </cell>
          <cell r="D98">
            <v>11.27</v>
          </cell>
          <cell r="E98">
            <v>0.79</v>
          </cell>
          <cell r="F98">
            <v>1.1299999999999999</v>
          </cell>
          <cell r="G98">
            <v>0.63</v>
          </cell>
          <cell r="H98" t="str">
            <v>Soft</v>
          </cell>
        </row>
        <row r="99">
          <cell r="A99" t="str">
            <v>Dornoch</v>
          </cell>
          <cell r="B99">
            <v>17.18</v>
          </cell>
          <cell r="C99">
            <v>1.25</v>
          </cell>
          <cell r="D99">
            <v>48</v>
          </cell>
          <cell r="E99">
            <v>3.37</v>
          </cell>
          <cell r="F99">
            <v>4.8</v>
          </cell>
          <cell r="G99">
            <v>2.69</v>
          </cell>
          <cell r="H99" t="str">
            <v>Soft</v>
          </cell>
        </row>
        <row r="100">
          <cell r="A100" t="str">
            <v>Drimnin</v>
          </cell>
          <cell r="B100">
            <v>4.3</v>
          </cell>
          <cell r="C100">
            <v>2.5</v>
          </cell>
          <cell r="D100">
            <v>21.01</v>
          </cell>
          <cell r="E100">
            <v>1.47</v>
          </cell>
          <cell r="F100">
            <v>2.1</v>
          </cell>
          <cell r="G100">
            <v>1.18</v>
          </cell>
          <cell r="H100" t="str">
            <v>Soft</v>
          </cell>
        </row>
        <row r="101">
          <cell r="A101" t="str">
            <v>Drumbeg</v>
          </cell>
          <cell r="B101">
            <v>3.2</v>
          </cell>
          <cell r="C101">
            <v>1.9</v>
          </cell>
          <cell r="D101">
            <v>15.8</v>
          </cell>
          <cell r="E101">
            <v>1.1100000000000001</v>
          </cell>
          <cell r="F101">
            <v>1.58</v>
          </cell>
          <cell r="G101">
            <v>0.89</v>
          </cell>
          <cell r="H101" t="str">
            <v>Soft</v>
          </cell>
        </row>
        <row r="102">
          <cell r="A102" t="str">
            <v>Durness</v>
          </cell>
          <cell r="B102">
            <v>35.5</v>
          </cell>
          <cell r="C102">
            <v>12.05</v>
          </cell>
          <cell r="D102">
            <v>138.12</v>
          </cell>
          <cell r="E102">
            <v>9.69</v>
          </cell>
          <cell r="F102">
            <v>13.81</v>
          </cell>
          <cell r="G102">
            <v>7.74</v>
          </cell>
          <cell r="H102" t="str">
            <v>Slightly Hard</v>
          </cell>
        </row>
        <row r="103">
          <cell r="A103" t="str">
            <v>Earlish Skye</v>
          </cell>
          <cell r="B103">
            <v>5.17</v>
          </cell>
          <cell r="C103">
            <v>3.35</v>
          </cell>
          <cell r="D103">
            <v>26.67</v>
          </cell>
          <cell r="E103">
            <v>1.87</v>
          </cell>
          <cell r="F103">
            <v>2.67</v>
          </cell>
          <cell r="G103">
            <v>1.49</v>
          </cell>
          <cell r="H103" t="str">
            <v>Soft</v>
          </cell>
        </row>
        <row r="104">
          <cell r="A104" t="str">
            <v>Eday Orkney</v>
          </cell>
          <cell r="B104">
            <v>54.83</v>
          </cell>
          <cell r="C104">
            <v>14.38</v>
          </cell>
          <cell r="D104">
            <v>195.93</v>
          </cell>
          <cell r="E104">
            <v>13.75</v>
          </cell>
          <cell r="F104">
            <v>19.59</v>
          </cell>
          <cell r="G104">
            <v>10.98</v>
          </cell>
          <cell r="H104" t="str">
            <v>Moderately Hard</v>
          </cell>
        </row>
        <row r="105">
          <cell r="A105" t="str">
            <v>Eela Water Shetland</v>
          </cell>
          <cell r="B105">
            <v>7.41</v>
          </cell>
          <cell r="C105">
            <v>2.54</v>
          </cell>
          <cell r="D105">
            <v>28.93</v>
          </cell>
          <cell r="E105">
            <v>2.0299999999999998</v>
          </cell>
          <cell r="F105">
            <v>2.89</v>
          </cell>
          <cell r="G105">
            <v>1.62</v>
          </cell>
          <cell r="H105" t="str">
            <v>Soft</v>
          </cell>
        </row>
        <row r="106">
          <cell r="A106" t="str">
            <v>Eredine</v>
          </cell>
          <cell r="B106">
            <v>2.8</v>
          </cell>
          <cell r="C106">
            <v>0.9</v>
          </cell>
          <cell r="D106">
            <v>10.69</v>
          </cell>
          <cell r="E106">
            <v>0.75</v>
          </cell>
          <cell r="F106">
            <v>1.07</v>
          </cell>
          <cell r="G106">
            <v>0.6</v>
          </cell>
          <cell r="H106" t="str">
            <v>Soft</v>
          </cell>
        </row>
        <row r="107">
          <cell r="A107" t="str">
            <v>Fair Isle Shetland</v>
          </cell>
          <cell r="B107">
            <v>57.3</v>
          </cell>
          <cell r="C107">
            <v>13.5</v>
          </cell>
          <cell r="D107">
            <v>198.48</v>
          </cell>
          <cell r="E107">
            <v>13.92</v>
          </cell>
          <cell r="F107">
            <v>19.850000000000001</v>
          </cell>
          <cell r="G107">
            <v>11.12</v>
          </cell>
          <cell r="H107" t="str">
            <v>Moderately Hard</v>
          </cell>
        </row>
        <row r="108">
          <cell r="A108" t="str">
            <v>Fetlar Shetland</v>
          </cell>
          <cell r="B108">
            <v>5.4</v>
          </cell>
          <cell r="C108">
            <v>11.4</v>
          </cell>
          <cell r="D108">
            <v>60.35</v>
          </cell>
          <cell r="E108">
            <v>4.2300000000000004</v>
          </cell>
          <cell r="F108">
            <v>6.03</v>
          </cell>
          <cell r="G108">
            <v>3.38</v>
          </cell>
          <cell r="H108" t="str">
            <v>Moderately Soft</v>
          </cell>
        </row>
        <row r="109">
          <cell r="A109" t="str">
            <v>Finlas</v>
          </cell>
          <cell r="B109">
            <v>3.38</v>
          </cell>
          <cell r="C109">
            <v>0.95</v>
          </cell>
          <cell r="D109">
            <v>12.34</v>
          </cell>
          <cell r="E109">
            <v>0.87</v>
          </cell>
          <cell r="F109">
            <v>1.23</v>
          </cell>
          <cell r="G109">
            <v>0.69</v>
          </cell>
          <cell r="H109" t="str">
            <v>Soft</v>
          </cell>
        </row>
        <row r="110">
          <cell r="A110" t="str">
            <v>Forehill</v>
          </cell>
          <cell r="B110">
            <v>29.5</v>
          </cell>
          <cell r="C110">
            <v>5.95</v>
          </cell>
          <cell r="D110">
            <v>98.07</v>
          </cell>
          <cell r="E110">
            <v>6.88</v>
          </cell>
          <cell r="F110">
            <v>9.81</v>
          </cell>
          <cell r="G110">
            <v>5.49</v>
          </cell>
          <cell r="H110" t="str">
            <v>Moderately Soft</v>
          </cell>
        </row>
        <row r="111">
          <cell r="A111" t="str">
            <v>Fort William</v>
          </cell>
          <cell r="B111">
            <v>24.35</v>
          </cell>
          <cell r="C111">
            <v>2.0499999999999998</v>
          </cell>
          <cell r="D111">
            <v>69.180000000000007</v>
          </cell>
          <cell r="E111">
            <v>4.8499999999999996</v>
          </cell>
          <cell r="F111">
            <v>6.92</v>
          </cell>
          <cell r="G111">
            <v>3.88</v>
          </cell>
          <cell r="H111" t="str">
            <v>Moderately Soft</v>
          </cell>
        </row>
        <row r="112">
          <cell r="A112" t="str">
            <v>Foula Shetland</v>
          </cell>
          <cell r="B112">
            <v>25.5</v>
          </cell>
          <cell r="C112">
            <v>6.7</v>
          </cell>
          <cell r="D112">
            <v>91.17</v>
          </cell>
          <cell r="E112">
            <v>6.4</v>
          </cell>
          <cell r="F112">
            <v>9.1199999999999992</v>
          </cell>
          <cell r="G112">
            <v>5.1100000000000003</v>
          </cell>
          <cell r="H112" t="str">
            <v>Moderately Soft</v>
          </cell>
        </row>
        <row r="113">
          <cell r="A113" t="str">
            <v>Geocrab Western Isles</v>
          </cell>
          <cell r="B113">
            <v>1.4</v>
          </cell>
          <cell r="C113">
            <v>1.68</v>
          </cell>
          <cell r="D113">
            <v>10.4</v>
          </cell>
          <cell r="E113">
            <v>0.73</v>
          </cell>
          <cell r="F113">
            <v>1.04</v>
          </cell>
          <cell r="G113">
            <v>0.57999999999999996</v>
          </cell>
          <cell r="H113" t="str">
            <v>Soft</v>
          </cell>
        </row>
        <row r="114">
          <cell r="A114" t="str">
            <v>Gigha</v>
          </cell>
          <cell r="B114">
            <v>10.9</v>
          </cell>
          <cell r="C114">
            <v>3.72</v>
          </cell>
          <cell r="D114">
            <v>42.49</v>
          </cell>
          <cell r="E114">
            <v>2.98</v>
          </cell>
          <cell r="F114">
            <v>4.25</v>
          </cell>
          <cell r="G114">
            <v>2.38</v>
          </cell>
          <cell r="H114" t="str">
            <v>Soft</v>
          </cell>
        </row>
        <row r="115">
          <cell r="A115" t="str">
            <v>Glenconvinth</v>
          </cell>
          <cell r="B115">
            <v>2.36</v>
          </cell>
          <cell r="C115">
            <v>0.7</v>
          </cell>
          <cell r="D115">
            <v>8.77</v>
          </cell>
          <cell r="E115">
            <v>0.62</v>
          </cell>
          <cell r="F115">
            <v>0.88</v>
          </cell>
          <cell r="G115">
            <v>0.49</v>
          </cell>
          <cell r="H115" t="str">
            <v>Soft</v>
          </cell>
        </row>
        <row r="116">
          <cell r="A116" t="str">
            <v>Glencorse A</v>
          </cell>
          <cell r="B116">
            <v>10.039999999999999</v>
          </cell>
          <cell r="C116">
            <v>1.31</v>
          </cell>
          <cell r="D116">
            <v>30.44</v>
          </cell>
          <cell r="E116">
            <v>2.14</v>
          </cell>
          <cell r="F116">
            <v>3.04</v>
          </cell>
          <cell r="G116">
            <v>1.71</v>
          </cell>
          <cell r="H116" t="str">
            <v>Soft</v>
          </cell>
        </row>
        <row r="117">
          <cell r="A117" t="str">
            <v>Glencorse B</v>
          </cell>
          <cell r="B117">
            <v>10.36</v>
          </cell>
          <cell r="C117">
            <v>1.36</v>
          </cell>
          <cell r="D117">
            <v>31.44</v>
          </cell>
          <cell r="E117">
            <v>2.21</v>
          </cell>
          <cell r="F117">
            <v>3.14</v>
          </cell>
          <cell r="G117">
            <v>1.76</v>
          </cell>
          <cell r="H117" t="str">
            <v>Soft</v>
          </cell>
        </row>
        <row r="118">
          <cell r="A118" t="str">
            <v>Glencorse C</v>
          </cell>
          <cell r="B118">
            <v>10.039999999999999</v>
          </cell>
          <cell r="C118">
            <v>1.35</v>
          </cell>
          <cell r="D118">
            <v>30.6</v>
          </cell>
          <cell r="E118">
            <v>2.15</v>
          </cell>
          <cell r="F118">
            <v>3.06</v>
          </cell>
          <cell r="G118">
            <v>1.71</v>
          </cell>
          <cell r="H118" t="str">
            <v>Soft</v>
          </cell>
        </row>
        <row r="119">
          <cell r="A119" t="str">
            <v>Glencorse D</v>
          </cell>
          <cell r="B119">
            <v>10.16</v>
          </cell>
          <cell r="C119">
            <v>1.35</v>
          </cell>
          <cell r="D119">
            <v>30.9</v>
          </cell>
          <cell r="E119">
            <v>2.17</v>
          </cell>
          <cell r="F119">
            <v>3.09</v>
          </cell>
          <cell r="G119">
            <v>1.73</v>
          </cell>
          <cell r="H119" t="str">
            <v>Soft</v>
          </cell>
        </row>
        <row r="120">
          <cell r="A120" t="str">
            <v>Glencorse E</v>
          </cell>
          <cell r="B120">
            <v>10.06</v>
          </cell>
          <cell r="C120">
            <v>1.34</v>
          </cell>
          <cell r="D120">
            <v>30.61</v>
          </cell>
          <cell r="E120">
            <v>2.15</v>
          </cell>
          <cell r="F120">
            <v>3.06</v>
          </cell>
          <cell r="G120">
            <v>1.72</v>
          </cell>
          <cell r="H120" t="str">
            <v>Soft</v>
          </cell>
        </row>
        <row r="121">
          <cell r="A121" t="str">
            <v>Glendale Skye</v>
          </cell>
          <cell r="B121">
            <v>4.4000000000000004</v>
          </cell>
          <cell r="C121">
            <v>3.48</v>
          </cell>
          <cell r="D121">
            <v>25.29</v>
          </cell>
          <cell r="E121">
            <v>1.77</v>
          </cell>
          <cell r="F121">
            <v>2.5299999999999998</v>
          </cell>
          <cell r="G121">
            <v>1.42</v>
          </cell>
          <cell r="H121" t="str">
            <v>Soft</v>
          </cell>
        </row>
        <row r="122">
          <cell r="A122" t="str">
            <v>Glendevon A</v>
          </cell>
          <cell r="B122">
            <v>14.62</v>
          </cell>
          <cell r="C122">
            <v>1.89</v>
          </cell>
          <cell r="D122">
            <v>44.25</v>
          </cell>
          <cell r="E122">
            <v>3.1</v>
          </cell>
          <cell r="F122">
            <v>4.42</v>
          </cell>
          <cell r="G122">
            <v>2.48</v>
          </cell>
          <cell r="H122" t="str">
            <v>Soft</v>
          </cell>
        </row>
        <row r="123">
          <cell r="A123" t="str">
            <v>Glendevon B</v>
          </cell>
          <cell r="B123">
            <v>14.44</v>
          </cell>
          <cell r="C123">
            <v>1.88</v>
          </cell>
          <cell r="D123">
            <v>43.76</v>
          </cell>
          <cell r="E123">
            <v>3.07</v>
          </cell>
          <cell r="F123">
            <v>4.38</v>
          </cell>
          <cell r="G123">
            <v>2.4500000000000002</v>
          </cell>
          <cell r="H123" t="str">
            <v>Soft</v>
          </cell>
        </row>
        <row r="124">
          <cell r="A124" t="str">
            <v>Glendevon/Glenfarg</v>
          </cell>
          <cell r="B124">
            <v>18.04</v>
          </cell>
          <cell r="C124">
            <v>3.24</v>
          </cell>
          <cell r="D124">
            <v>58.33</v>
          </cell>
          <cell r="E124">
            <v>4.09</v>
          </cell>
          <cell r="F124">
            <v>5.83</v>
          </cell>
          <cell r="G124">
            <v>3.27</v>
          </cell>
          <cell r="H124" t="str">
            <v>Moderately Soft</v>
          </cell>
        </row>
        <row r="125">
          <cell r="A125" t="str">
            <v>Glenelg</v>
          </cell>
          <cell r="B125">
            <v>17.2</v>
          </cell>
          <cell r="C125">
            <v>0.43</v>
          </cell>
          <cell r="D125">
            <v>44.68</v>
          </cell>
          <cell r="E125">
            <v>3.13</v>
          </cell>
          <cell r="F125">
            <v>4.47</v>
          </cell>
          <cell r="G125">
            <v>2.5</v>
          </cell>
          <cell r="H125" t="str">
            <v>Soft</v>
          </cell>
        </row>
        <row r="126">
          <cell r="A126" t="str">
            <v>Glenfarg</v>
          </cell>
          <cell r="B126">
            <v>19.68</v>
          </cell>
          <cell r="C126">
            <v>3.49</v>
          </cell>
          <cell r="D126">
            <v>63.45</v>
          </cell>
          <cell r="E126">
            <v>4.45</v>
          </cell>
          <cell r="F126">
            <v>6.35</v>
          </cell>
          <cell r="G126">
            <v>3.56</v>
          </cell>
          <cell r="H126" t="str">
            <v>Moderately Soft</v>
          </cell>
        </row>
        <row r="127">
          <cell r="A127" t="str">
            <v>Glenfarg/Kinnesswood A</v>
          </cell>
          <cell r="B127">
            <v>24.27</v>
          </cell>
          <cell r="C127">
            <v>5.31</v>
          </cell>
          <cell r="D127">
            <v>82.39</v>
          </cell>
          <cell r="E127">
            <v>5.78</v>
          </cell>
          <cell r="F127">
            <v>8.24</v>
          </cell>
          <cell r="G127">
            <v>4.62</v>
          </cell>
          <cell r="H127" t="str">
            <v>Moderately Soft</v>
          </cell>
        </row>
        <row r="128">
          <cell r="A128" t="str">
            <v>Glenfarg/Kinnesswood B</v>
          </cell>
          <cell r="B128">
            <v>20.09</v>
          </cell>
          <cell r="C128">
            <v>3.51</v>
          </cell>
          <cell r="D128">
            <v>64.56</v>
          </cell>
          <cell r="E128">
            <v>4.53</v>
          </cell>
          <cell r="F128">
            <v>6.46</v>
          </cell>
          <cell r="G128">
            <v>3.62</v>
          </cell>
          <cell r="H128" t="str">
            <v>Moderately Soft</v>
          </cell>
        </row>
        <row r="129">
          <cell r="A129" t="str">
            <v>Glengap</v>
          </cell>
          <cell r="B129">
            <v>12.07</v>
          </cell>
          <cell r="C129">
            <v>0.95</v>
          </cell>
          <cell r="D129">
            <v>34.020000000000003</v>
          </cell>
          <cell r="E129">
            <v>2.39</v>
          </cell>
          <cell r="F129">
            <v>3.4</v>
          </cell>
          <cell r="G129">
            <v>1.91</v>
          </cell>
          <cell r="H129" t="str">
            <v>Soft</v>
          </cell>
        </row>
        <row r="130">
          <cell r="A130" t="str">
            <v>Glenlatterach</v>
          </cell>
          <cell r="B130">
            <v>43.52</v>
          </cell>
          <cell r="C130">
            <v>1</v>
          </cell>
          <cell r="D130">
            <v>112.69</v>
          </cell>
          <cell r="E130">
            <v>7.91</v>
          </cell>
          <cell r="F130">
            <v>11.27</v>
          </cell>
          <cell r="G130">
            <v>6.31</v>
          </cell>
          <cell r="H130" t="str">
            <v>Slightly Hard</v>
          </cell>
        </row>
        <row r="131">
          <cell r="A131" t="str">
            <v>Glenuig</v>
          </cell>
          <cell r="B131">
            <v>2.2999999999999998</v>
          </cell>
          <cell r="C131">
            <v>0.7</v>
          </cell>
          <cell r="D131">
            <v>8.6199999999999992</v>
          </cell>
          <cell r="E131">
            <v>0.6</v>
          </cell>
          <cell r="F131">
            <v>0.86</v>
          </cell>
          <cell r="G131">
            <v>0.48</v>
          </cell>
          <cell r="H131" t="str">
            <v>Soft</v>
          </cell>
        </row>
        <row r="132">
          <cell r="A132" t="str">
            <v>Greenock</v>
          </cell>
          <cell r="B132">
            <v>15.07</v>
          </cell>
          <cell r="C132">
            <v>0.91</v>
          </cell>
          <cell r="D132">
            <v>41.34</v>
          </cell>
          <cell r="E132">
            <v>2.9</v>
          </cell>
          <cell r="F132">
            <v>4.13</v>
          </cell>
          <cell r="G132">
            <v>2.3199999999999998</v>
          </cell>
          <cell r="H132" t="str">
            <v>Soft</v>
          </cell>
        </row>
        <row r="133">
          <cell r="A133" t="str">
            <v>Harris Bedersaig</v>
          </cell>
          <cell r="B133">
            <v>4.4000000000000004</v>
          </cell>
          <cell r="C133">
            <v>2.9</v>
          </cell>
          <cell r="D133">
            <v>22.9</v>
          </cell>
          <cell r="E133">
            <v>1.61</v>
          </cell>
          <cell r="F133">
            <v>2.29</v>
          </cell>
          <cell r="G133">
            <v>1.28</v>
          </cell>
          <cell r="H133" t="str">
            <v>Soft</v>
          </cell>
        </row>
        <row r="134">
          <cell r="A134" t="str">
            <v>Herricks</v>
          </cell>
          <cell r="B134">
            <v>20.190000000000001</v>
          </cell>
          <cell r="C134">
            <v>3.64</v>
          </cell>
          <cell r="D134">
            <v>65.34</v>
          </cell>
          <cell r="E134">
            <v>4.58</v>
          </cell>
          <cell r="F134">
            <v>6.53</v>
          </cell>
          <cell r="G134">
            <v>3.66</v>
          </cell>
          <cell r="H134" t="str">
            <v>Moderately Soft</v>
          </cell>
        </row>
        <row r="135">
          <cell r="A135" t="str">
            <v>Hopes</v>
          </cell>
          <cell r="B135">
            <v>13.23</v>
          </cell>
          <cell r="C135">
            <v>4.8499999999999996</v>
          </cell>
          <cell r="D135">
            <v>52.95</v>
          </cell>
          <cell r="E135">
            <v>3.71</v>
          </cell>
          <cell r="F135">
            <v>5.3</v>
          </cell>
          <cell r="G135">
            <v>2.97</v>
          </cell>
          <cell r="H135" t="str">
            <v>Moderately Soft</v>
          </cell>
        </row>
        <row r="136">
          <cell r="A136" t="str">
            <v>Howden</v>
          </cell>
          <cell r="B136">
            <v>15</v>
          </cell>
          <cell r="C136">
            <v>4.38</v>
          </cell>
          <cell r="D136">
            <v>55.44</v>
          </cell>
          <cell r="E136">
            <v>3.89</v>
          </cell>
          <cell r="F136">
            <v>5.54</v>
          </cell>
          <cell r="G136">
            <v>3.11</v>
          </cell>
          <cell r="H136" t="str">
            <v>Moderately Soft</v>
          </cell>
        </row>
        <row r="137">
          <cell r="A137" t="str">
            <v>Hoy Calder</v>
          </cell>
          <cell r="B137">
            <v>27.01</v>
          </cell>
          <cell r="C137">
            <v>5.65</v>
          </cell>
          <cell r="D137">
            <v>90.62</v>
          </cell>
          <cell r="E137">
            <v>6.36</v>
          </cell>
          <cell r="F137">
            <v>9.06</v>
          </cell>
          <cell r="G137">
            <v>5.08</v>
          </cell>
          <cell r="H137" t="str">
            <v>Moderately Soft</v>
          </cell>
        </row>
        <row r="138">
          <cell r="A138" t="str">
            <v>Inchlaggan</v>
          </cell>
          <cell r="B138">
            <v>2.2000000000000002</v>
          </cell>
          <cell r="C138">
            <v>0.4</v>
          </cell>
          <cell r="D138">
            <v>7.13</v>
          </cell>
          <cell r="E138">
            <v>0.5</v>
          </cell>
          <cell r="F138">
            <v>0.71</v>
          </cell>
          <cell r="G138">
            <v>0.4</v>
          </cell>
          <cell r="H138" t="str">
            <v>Soft</v>
          </cell>
        </row>
        <row r="139">
          <cell r="A139" t="str">
            <v>Innerleithen</v>
          </cell>
          <cell r="B139">
            <v>31</v>
          </cell>
          <cell r="C139">
            <v>7.4</v>
          </cell>
          <cell r="D139">
            <v>107.77</v>
          </cell>
          <cell r="E139">
            <v>7.56</v>
          </cell>
          <cell r="F139">
            <v>10.78</v>
          </cell>
          <cell r="G139">
            <v>6.04</v>
          </cell>
          <cell r="H139" t="str">
            <v>Slightly Hard</v>
          </cell>
        </row>
        <row r="140">
          <cell r="A140" t="str">
            <v>Inverary</v>
          </cell>
          <cell r="B140">
            <v>1.9</v>
          </cell>
          <cell r="C140">
            <v>0.7</v>
          </cell>
          <cell r="D140">
            <v>7.62</v>
          </cell>
          <cell r="E140">
            <v>0.53</v>
          </cell>
          <cell r="F140">
            <v>0.76</v>
          </cell>
          <cell r="G140">
            <v>0.43</v>
          </cell>
          <cell r="H140" t="str">
            <v>Soft</v>
          </cell>
        </row>
        <row r="141">
          <cell r="A141" t="str">
            <v>Invercannie</v>
          </cell>
          <cell r="B141">
            <v>5.8</v>
          </cell>
          <cell r="C141">
            <v>1.21</v>
          </cell>
          <cell r="D141">
            <v>19.45</v>
          </cell>
          <cell r="E141">
            <v>1.36</v>
          </cell>
          <cell r="F141">
            <v>1.94</v>
          </cell>
          <cell r="G141">
            <v>1.0900000000000001</v>
          </cell>
          <cell r="H141" t="str">
            <v>Soft</v>
          </cell>
        </row>
        <row r="142">
          <cell r="A142" t="str">
            <v>Invergarry</v>
          </cell>
          <cell r="B142">
            <v>2.4500000000000002</v>
          </cell>
          <cell r="C142">
            <v>0.4</v>
          </cell>
          <cell r="D142">
            <v>7.76</v>
          </cell>
          <cell r="E142">
            <v>0.54</v>
          </cell>
          <cell r="F142">
            <v>0.78</v>
          </cell>
          <cell r="G142">
            <v>0.43</v>
          </cell>
          <cell r="H142" t="str">
            <v>Soft</v>
          </cell>
        </row>
        <row r="143">
          <cell r="A143" t="str">
            <v>Invermoriston</v>
          </cell>
          <cell r="B143">
            <v>10.97</v>
          </cell>
          <cell r="C143">
            <v>0.5</v>
          </cell>
          <cell r="D143">
            <v>29.43</v>
          </cell>
          <cell r="E143">
            <v>2.06</v>
          </cell>
          <cell r="F143">
            <v>2.94</v>
          </cell>
          <cell r="G143">
            <v>1.65</v>
          </cell>
          <cell r="H143" t="str">
            <v>Soft</v>
          </cell>
        </row>
        <row r="144">
          <cell r="A144" t="str">
            <v>Inverness</v>
          </cell>
          <cell r="B144">
            <v>10.28</v>
          </cell>
          <cell r="C144">
            <v>1.1599999999999999</v>
          </cell>
          <cell r="D144">
            <v>30.42</v>
          </cell>
          <cell r="E144">
            <v>2.13</v>
          </cell>
          <cell r="F144">
            <v>3.04</v>
          </cell>
          <cell r="G144">
            <v>1.7</v>
          </cell>
          <cell r="H144" t="str">
            <v>Soft</v>
          </cell>
        </row>
        <row r="145">
          <cell r="A145" t="str">
            <v>Katrine Pier</v>
          </cell>
          <cell r="B145">
            <v>2</v>
          </cell>
          <cell r="C145">
            <v>0.4</v>
          </cell>
          <cell r="D145">
            <v>6.63</v>
          </cell>
          <cell r="E145">
            <v>0.47</v>
          </cell>
          <cell r="F145">
            <v>0.66</v>
          </cell>
          <cell r="G145">
            <v>0.37</v>
          </cell>
          <cell r="H145" t="str">
            <v>Soft</v>
          </cell>
        </row>
        <row r="146">
          <cell r="A146" t="str">
            <v>Kenmore</v>
          </cell>
          <cell r="B146">
            <v>37.200000000000003</v>
          </cell>
          <cell r="C146">
            <v>7.15</v>
          </cell>
          <cell r="D146">
            <v>122.21</v>
          </cell>
          <cell r="E146">
            <v>8.57</v>
          </cell>
          <cell r="F146">
            <v>12.22</v>
          </cell>
          <cell r="G146">
            <v>6.85</v>
          </cell>
          <cell r="H146" t="str">
            <v>Slightly Hard</v>
          </cell>
        </row>
        <row r="147">
          <cell r="A147" t="str">
            <v>Kettleton</v>
          </cell>
          <cell r="B147">
            <v>10.57</v>
          </cell>
          <cell r="C147">
            <v>3.9</v>
          </cell>
          <cell r="D147">
            <v>42.41</v>
          </cell>
          <cell r="E147">
            <v>2.98</v>
          </cell>
          <cell r="F147">
            <v>4.24</v>
          </cell>
          <cell r="G147">
            <v>2.38</v>
          </cell>
          <cell r="H147" t="str">
            <v>Soft</v>
          </cell>
        </row>
        <row r="148">
          <cell r="A148" t="str">
            <v>Kilberry</v>
          </cell>
          <cell r="B148">
            <v>9.1999999999999993</v>
          </cell>
          <cell r="C148">
            <v>2</v>
          </cell>
          <cell r="D148">
            <v>31.18</v>
          </cell>
          <cell r="E148">
            <v>2.19</v>
          </cell>
          <cell r="F148">
            <v>3.12</v>
          </cell>
          <cell r="G148">
            <v>1.75</v>
          </cell>
          <cell r="H148" t="str">
            <v>Soft</v>
          </cell>
        </row>
        <row r="149">
          <cell r="A149" t="str">
            <v>Kilchoan</v>
          </cell>
          <cell r="B149">
            <v>3.4</v>
          </cell>
          <cell r="C149">
            <v>2.17</v>
          </cell>
          <cell r="D149">
            <v>17.41</v>
          </cell>
          <cell r="E149">
            <v>1.22</v>
          </cell>
          <cell r="F149">
            <v>1.74</v>
          </cell>
          <cell r="G149">
            <v>0.98</v>
          </cell>
          <cell r="H149" t="str">
            <v>Soft</v>
          </cell>
        </row>
        <row r="150">
          <cell r="A150" t="str">
            <v>Killiecrankie</v>
          </cell>
          <cell r="B150">
            <v>18.95</v>
          </cell>
          <cell r="C150">
            <v>1.36</v>
          </cell>
          <cell r="D150">
            <v>52.87</v>
          </cell>
          <cell r="E150">
            <v>3.71</v>
          </cell>
          <cell r="F150">
            <v>5.29</v>
          </cell>
          <cell r="G150">
            <v>2.96</v>
          </cell>
          <cell r="H150" t="str">
            <v>Moderately Soft</v>
          </cell>
        </row>
        <row r="151">
          <cell r="A151" t="str">
            <v>Killin</v>
          </cell>
          <cell r="B151">
            <v>5.28</v>
          </cell>
          <cell r="C151">
            <v>0.62</v>
          </cell>
          <cell r="D151">
            <v>15.72</v>
          </cell>
          <cell r="E151">
            <v>1.1000000000000001</v>
          </cell>
          <cell r="F151">
            <v>1.57</v>
          </cell>
          <cell r="G151">
            <v>0.88</v>
          </cell>
          <cell r="H151" t="str">
            <v>Soft</v>
          </cell>
        </row>
        <row r="152">
          <cell r="A152" t="str">
            <v>Killylour</v>
          </cell>
          <cell r="B152">
            <v>3.42</v>
          </cell>
          <cell r="C152">
            <v>1.2</v>
          </cell>
          <cell r="D152">
            <v>13.47</v>
          </cell>
          <cell r="E152">
            <v>0.94</v>
          </cell>
          <cell r="F152">
            <v>1.35</v>
          </cell>
          <cell r="G152">
            <v>0.75</v>
          </cell>
          <cell r="H152" t="str">
            <v>Soft</v>
          </cell>
        </row>
        <row r="153">
          <cell r="A153" t="str">
            <v>Kilmaluag Skye</v>
          </cell>
          <cell r="B153">
            <v>13.1</v>
          </cell>
          <cell r="C153">
            <v>3.8</v>
          </cell>
          <cell r="D153">
            <v>48.31</v>
          </cell>
          <cell r="E153">
            <v>3.39</v>
          </cell>
          <cell r="F153">
            <v>4.83</v>
          </cell>
          <cell r="G153">
            <v>2.71</v>
          </cell>
          <cell r="H153" t="str">
            <v>Soft</v>
          </cell>
        </row>
        <row r="154">
          <cell r="A154" t="str">
            <v>Kilmelford</v>
          </cell>
          <cell r="B154">
            <v>7.12</v>
          </cell>
          <cell r="C154">
            <v>1.05</v>
          </cell>
          <cell r="D154">
            <v>22.08</v>
          </cell>
          <cell r="E154">
            <v>1.55</v>
          </cell>
          <cell r="F154">
            <v>2.21</v>
          </cell>
          <cell r="G154">
            <v>1.24</v>
          </cell>
          <cell r="H154" t="str">
            <v>Soft</v>
          </cell>
        </row>
        <row r="155">
          <cell r="A155" t="str">
            <v>Kinloch Rannoch</v>
          </cell>
          <cell r="B155">
            <v>5.7</v>
          </cell>
          <cell r="C155">
            <v>1.27</v>
          </cell>
          <cell r="D155">
            <v>19.440000000000001</v>
          </cell>
          <cell r="E155">
            <v>1.36</v>
          </cell>
          <cell r="F155">
            <v>1.94</v>
          </cell>
          <cell r="G155">
            <v>1.0900000000000001</v>
          </cell>
          <cell r="H155" t="str">
            <v>Soft</v>
          </cell>
        </row>
        <row r="156">
          <cell r="A156" t="str">
            <v>Kinlochbervie</v>
          </cell>
          <cell r="B156">
            <v>2.77</v>
          </cell>
          <cell r="C156">
            <v>0.72</v>
          </cell>
          <cell r="D156">
            <v>9.8699999999999992</v>
          </cell>
          <cell r="E156">
            <v>0.69</v>
          </cell>
          <cell r="F156">
            <v>0.99</v>
          </cell>
          <cell r="G156">
            <v>0.55000000000000004</v>
          </cell>
          <cell r="H156" t="str">
            <v>Soft</v>
          </cell>
        </row>
        <row r="157">
          <cell r="A157" t="str">
            <v>Kinlochewe</v>
          </cell>
          <cell r="B157">
            <v>1.6</v>
          </cell>
          <cell r="C157">
            <v>0.4</v>
          </cell>
          <cell r="D157">
            <v>5.64</v>
          </cell>
          <cell r="E157">
            <v>0.4</v>
          </cell>
          <cell r="F157">
            <v>0.56000000000000005</v>
          </cell>
          <cell r="G157">
            <v>0.32</v>
          </cell>
          <cell r="H157" t="str">
            <v>Soft</v>
          </cell>
        </row>
        <row r="158">
          <cell r="A158" t="str">
            <v>Kinlochleven</v>
          </cell>
          <cell r="B158">
            <v>2.5</v>
          </cell>
          <cell r="C158">
            <v>0.4</v>
          </cell>
          <cell r="D158">
            <v>7.88</v>
          </cell>
          <cell r="E158">
            <v>0.55000000000000004</v>
          </cell>
          <cell r="F158">
            <v>0.79</v>
          </cell>
          <cell r="G158">
            <v>0.44</v>
          </cell>
          <cell r="H158" t="str">
            <v>Soft</v>
          </cell>
        </row>
        <row r="159">
          <cell r="A159" t="str">
            <v>Kirbister Orkney</v>
          </cell>
          <cell r="B159">
            <v>29.81</v>
          </cell>
          <cell r="C159">
            <v>8.86</v>
          </cell>
          <cell r="D159">
            <v>110.81</v>
          </cell>
          <cell r="E159">
            <v>7.77</v>
          </cell>
          <cell r="F159">
            <v>11.08</v>
          </cell>
          <cell r="G159">
            <v>6.21</v>
          </cell>
          <cell r="H159" t="str">
            <v>Slightly Hard</v>
          </cell>
        </row>
        <row r="160">
          <cell r="A160" t="str">
            <v>Kirkmichael</v>
          </cell>
          <cell r="B160">
            <v>4.05</v>
          </cell>
          <cell r="C160">
            <v>1.2</v>
          </cell>
          <cell r="D160">
            <v>15.04</v>
          </cell>
          <cell r="E160">
            <v>1.06</v>
          </cell>
          <cell r="F160">
            <v>1.5</v>
          </cell>
          <cell r="G160">
            <v>0.84</v>
          </cell>
          <cell r="H160" t="str">
            <v>Soft</v>
          </cell>
        </row>
        <row r="161">
          <cell r="A161" t="str">
            <v>Kyle of Lochalsh</v>
          </cell>
          <cell r="B161">
            <v>2.73</v>
          </cell>
          <cell r="C161">
            <v>1.7</v>
          </cell>
          <cell r="D161">
            <v>13.8</v>
          </cell>
          <cell r="E161">
            <v>0.97</v>
          </cell>
          <cell r="F161">
            <v>1.38</v>
          </cell>
          <cell r="G161">
            <v>0.77</v>
          </cell>
          <cell r="H161" t="str">
            <v>Soft</v>
          </cell>
        </row>
        <row r="162">
          <cell r="A162" t="str">
            <v>Kylesku</v>
          </cell>
          <cell r="B162">
            <v>2.2999999999999998</v>
          </cell>
          <cell r="C162">
            <v>0.8</v>
          </cell>
          <cell r="D162">
            <v>9.0299999999999994</v>
          </cell>
          <cell r="E162">
            <v>0.63</v>
          </cell>
          <cell r="F162">
            <v>0.9</v>
          </cell>
          <cell r="G162">
            <v>0.51</v>
          </cell>
          <cell r="H162" t="str">
            <v>Soft</v>
          </cell>
        </row>
        <row r="163">
          <cell r="A163" t="str">
            <v>Laggan Bridge</v>
          </cell>
          <cell r="B163">
            <v>29.5</v>
          </cell>
          <cell r="C163">
            <v>1.9</v>
          </cell>
          <cell r="D163">
            <v>81.42</v>
          </cell>
          <cell r="E163">
            <v>5.71</v>
          </cell>
          <cell r="F163">
            <v>8.14</v>
          </cell>
          <cell r="G163">
            <v>4.5599999999999996</v>
          </cell>
          <cell r="H163" t="str">
            <v>Moderately Soft</v>
          </cell>
        </row>
        <row r="164">
          <cell r="A164" t="str">
            <v>Laid</v>
          </cell>
          <cell r="B164">
            <v>2.6</v>
          </cell>
          <cell r="C164">
            <v>1.2</v>
          </cell>
          <cell r="D164">
            <v>11.42</v>
          </cell>
          <cell r="E164">
            <v>0.8</v>
          </cell>
          <cell r="F164">
            <v>1.1399999999999999</v>
          </cell>
          <cell r="G164">
            <v>0.64</v>
          </cell>
          <cell r="H164" t="str">
            <v>Soft</v>
          </cell>
        </row>
        <row r="165">
          <cell r="A165" t="str">
            <v>Larchfield</v>
          </cell>
          <cell r="B165">
            <v>37.65</v>
          </cell>
          <cell r="C165">
            <v>18.739999999999998</v>
          </cell>
          <cell r="D165">
            <v>171</v>
          </cell>
          <cell r="E165">
            <v>12</v>
          </cell>
          <cell r="F165">
            <v>17.100000000000001</v>
          </cell>
          <cell r="G165">
            <v>9.58</v>
          </cell>
          <cell r="H165" t="str">
            <v>Moderately Hard</v>
          </cell>
        </row>
        <row r="166">
          <cell r="A166" t="str">
            <v>Lerwick Shetland</v>
          </cell>
          <cell r="B166">
            <v>17.84</v>
          </cell>
          <cell r="C166">
            <v>3.73</v>
          </cell>
          <cell r="D166">
            <v>59.85</v>
          </cell>
          <cell r="E166">
            <v>4.2</v>
          </cell>
          <cell r="F166">
            <v>5.98</v>
          </cell>
          <cell r="G166">
            <v>3.35</v>
          </cell>
          <cell r="H166" t="str">
            <v>Moderately Soft</v>
          </cell>
        </row>
        <row r="167">
          <cell r="A167" t="str">
            <v>Lintrathen</v>
          </cell>
          <cell r="B167">
            <v>8.34</v>
          </cell>
          <cell r="C167">
            <v>1.45</v>
          </cell>
          <cell r="D167">
            <v>26.77</v>
          </cell>
          <cell r="E167">
            <v>1.88</v>
          </cell>
          <cell r="F167">
            <v>2.68</v>
          </cell>
          <cell r="G167">
            <v>1.5</v>
          </cell>
          <cell r="H167" t="str">
            <v>Soft</v>
          </cell>
        </row>
        <row r="168">
          <cell r="A168" t="str">
            <v>Lismore Primary</v>
          </cell>
          <cell r="B168">
            <v>109.2</v>
          </cell>
          <cell r="C168">
            <v>3.3</v>
          </cell>
          <cell r="D168">
            <v>286.02</v>
          </cell>
          <cell r="E168">
            <v>20.07</v>
          </cell>
          <cell r="F168">
            <v>28.6</v>
          </cell>
          <cell r="G168">
            <v>16.03</v>
          </cell>
          <cell r="H168" t="str">
            <v>Hard</v>
          </cell>
        </row>
        <row r="169">
          <cell r="A169" t="str">
            <v>Loch Eck</v>
          </cell>
          <cell r="B169">
            <v>2.21</v>
          </cell>
          <cell r="C169">
            <v>0.88</v>
          </cell>
          <cell r="D169">
            <v>9.1300000000000008</v>
          </cell>
          <cell r="E169">
            <v>0.64</v>
          </cell>
          <cell r="F169">
            <v>0.91</v>
          </cell>
          <cell r="G169">
            <v>0.51</v>
          </cell>
          <cell r="H169" t="str">
            <v>Soft</v>
          </cell>
        </row>
        <row r="170">
          <cell r="A170" t="str">
            <v>Lochaline</v>
          </cell>
          <cell r="B170">
            <v>4.08</v>
          </cell>
          <cell r="C170">
            <v>1.68</v>
          </cell>
          <cell r="D170">
            <v>17.09</v>
          </cell>
          <cell r="E170">
            <v>1.2</v>
          </cell>
          <cell r="F170">
            <v>1.71</v>
          </cell>
          <cell r="G170">
            <v>0.96</v>
          </cell>
          <cell r="H170" t="str">
            <v>Soft</v>
          </cell>
        </row>
        <row r="171">
          <cell r="A171" t="str">
            <v>Lochcarron</v>
          </cell>
          <cell r="B171">
            <v>3.38</v>
          </cell>
          <cell r="C171">
            <v>0.9</v>
          </cell>
          <cell r="D171">
            <v>12.13</v>
          </cell>
          <cell r="E171">
            <v>0.85</v>
          </cell>
          <cell r="F171">
            <v>1.21</v>
          </cell>
          <cell r="G171">
            <v>0.68</v>
          </cell>
          <cell r="H171" t="str">
            <v>Soft</v>
          </cell>
        </row>
        <row r="172">
          <cell r="A172" t="str">
            <v>Lochearnhead</v>
          </cell>
          <cell r="B172">
            <v>3.6</v>
          </cell>
          <cell r="C172">
            <v>0.55000000000000004</v>
          </cell>
          <cell r="D172">
            <v>11.24</v>
          </cell>
          <cell r="E172">
            <v>0.79</v>
          </cell>
          <cell r="F172">
            <v>1.1200000000000001</v>
          </cell>
          <cell r="G172">
            <v>0.63</v>
          </cell>
          <cell r="H172" t="str">
            <v>Soft</v>
          </cell>
        </row>
        <row r="173">
          <cell r="A173" t="str">
            <v>Lochgoilhead</v>
          </cell>
          <cell r="B173">
            <v>2.33</v>
          </cell>
          <cell r="C173">
            <v>0.52</v>
          </cell>
          <cell r="D173">
            <v>7.95</v>
          </cell>
          <cell r="E173">
            <v>0.56000000000000005</v>
          </cell>
          <cell r="F173">
            <v>0.8</v>
          </cell>
          <cell r="G173">
            <v>0.45</v>
          </cell>
          <cell r="H173" t="str">
            <v>Soft</v>
          </cell>
        </row>
        <row r="174">
          <cell r="A174" t="str">
            <v>Lochinvar</v>
          </cell>
          <cell r="B174">
            <v>9.7799999999999994</v>
          </cell>
          <cell r="C174">
            <v>1.41</v>
          </cell>
          <cell r="D174">
            <v>30.2</v>
          </cell>
          <cell r="E174">
            <v>2.12</v>
          </cell>
          <cell r="F174">
            <v>3.02</v>
          </cell>
          <cell r="G174">
            <v>1.69</v>
          </cell>
          <cell r="H174" t="str">
            <v>Soft</v>
          </cell>
        </row>
        <row r="175">
          <cell r="A175" t="str">
            <v>Lochinver</v>
          </cell>
          <cell r="B175">
            <v>3.52</v>
          </cell>
          <cell r="C175">
            <v>1.38</v>
          </cell>
          <cell r="D175">
            <v>14.46</v>
          </cell>
          <cell r="E175">
            <v>1.01</v>
          </cell>
          <cell r="F175">
            <v>1.45</v>
          </cell>
          <cell r="G175">
            <v>0.81</v>
          </cell>
          <cell r="H175" t="str">
            <v>Soft</v>
          </cell>
        </row>
        <row r="176">
          <cell r="A176" t="str">
            <v>Lochmaddy Western Isles</v>
          </cell>
          <cell r="B176">
            <v>16.100000000000001</v>
          </cell>
          <cell r="C176">
            <v>1.6</v>
          </cell>
          <cell r="D176">
            <v>46.75</v>
          </cell>
          <cell r="E176">
            <v>3.28</v>
          </cell>
          <cell r="F176">
            <v>4.67</v>
          </cell>
          <cell r="G176">
            <v>2.62</v>
          </cell>
          <cell r="H176" t="str">
            <v>Soft</v>
          </cell>
        </row>
        <row r="177">
          <cell r="A177" t="str">
            <v>Lochranza Arran</v>
          </cell>
          <cell r="B177">
            <v>1.77</v>
          </cell>
          <cell r="C177">
            <v>0.4</v>
          </cell>
          <cell r="D177">
            <v>6.06</v>
          </cell>
          <cell r="E177">
            <v>0.43</v>
          </cell>
          <cell r="F177">
            <v>0.61</v>
          </cell>
          <cell r="G177">
            <v>0.34</v>
          </cell>
          <cell r="H177" t="str">
            <v>Soft</v>
          </cell>
        </row>
        <row r="178">
          <cell r="A178" t="str">
            <v>Lomond Hills</v>
          </cell>
          <cell r="B178">
            <v>14.47</v>
          </cell>
          <cell r="C178">
            <v>4.7300000000000004</v>
          </cell>
          <cell r="D178">
            <v>55.55</v>
          </cell>
          <cell r="E178">
            <v>3.9</v>
          </cell>
          <cell r="F178">
            <v>5.56</v>
          </cell>
          <cell r="G178">
            <v>3.11</v>
          </cell>
          <cell r="H178" t="str">
            <v>Moderately Soft</v>
          </cell>
        </row>
        <row r="179">
          <cell r="A179" t="str">
            <v>Lomond Hills Borehole Mix</v>
          </cell>
          <cell r="B179">
            <v>25.18</v>
          </cell>
          <cell r="C179">
            <v>19.23</v>
          </cell>
          <cell r="D179">
            <v>141.9</v>
          </cell>
          <cell r="E179">
            <v>9.9499999999999993</v>
          </cell>
          <cell r="F179">
            <v>14.19</v>
          </cell>
          <cell r="G179">
            <v>7.95</v>
          </cell>
          <cell r="H179" t="str">
            <v>Slightly Hard</v>
          </cell>
        </row>
        <row r="180">
          <cell r="A180" t="str">
            <v>Lumsden</v>
          </cell>
          <cell r="B180">
            <v>30.05</v>
          </cell>
          <cell r="C180">
            <v>2.92</v>
          </cell>
          <cell r="D180">
            <v>86.98</v>
          </cell>
          <cell r="E180">
            <v>6.1</v>
          </cell>
          <cell r="F180">
            <v>8.6999999999999993</v>
          </cell>
          <cell r="G180">
            <v>4.87</v>
          </cell>
          <cell r="H180" t="str">
            <v>Moderately Soft</v>
          </cell>
        </row>
        <row r="181">
          <cell r="A181" t="str">
            <v>Mallaig</v>
          </cell>
          <cell r="B181">
            <v>1.9</v>
          </cell>
          <cell r="C181">
            <v>1.27</v>
          </cell>
          <cell r="D181">
            <v>9.9600000000000009</v>
          </cell>
          <cell r="E181">
            <v>0.7</v>
          </cell>
          <cell r="F181">
            <v>1</v>
          </cell>
          <cell r="G181">
            <v>0.56000000000000005</v>
          </cell>
          <cell r="H181" t="str">
            <v>Soft</v>
          </cell>
        </row>
        <row r="182">
          <cell r="A182" t="str">
            <v>Mannofield East</v>
          </cell>
          <cell r="B182">
            <v>8.35</v>
          </cell>
          <cell r="C182">
            <v>1.34</v>
          </cell>
          <cell r="D182">
            <v>26.34</v>
          </cell>
          <cell r="E182">
            <v>1.85</v>
          </cell>
          <cell r="F182">
            <v>2.63</v>
          </cell>
          <cell r="G182">
            <v>1.48</v>
          </cell>
          <cell r="H182" t="str">
            <v>Soft</v>
          </cell>
        </row>
        <row r="183">
          <cell r="A183" t="str">
            <v>Mannofield North</v>
          </cell>
          <cell r="B183">
            <v>8.0399999999999991</v>
          </cell>
          <cell r="C183">
            <v>1.29</v>
          </cell>
          <cell r="D183">
            <v>25.36</v>
          </cell>
          <cell r="E183">
            <v>1.78</v>
          </cell>
          <cell r="F183">
            <v>2.54</v>
          </cell>
          <cell r="G183">
            <v>1.42</v>
          </cell>
          <cell r="H183" t="str">
            <v>Soft</v>
          </cell>
        </row>
        <row r="184">
          <cell r="A184" t="str">
            <v>Mannofield South</v>
          </cell>
          <cell r="B184">
            <v>8.41</v>
          </cell>
          <cell r="C184">
            <v>1.38</v>
          </cell>
          <cell r="D184">
            <v>26.66</v>
          </cell>
          <cell r="E184">
            <v>1.87</v>
          </cell>
          <cell r="F184">
            <v>2.67</v>
          </cell>
          <cell r="G184">
            <v>1.49</v>
          </cell>
          <cell r="H184" t="str">
            <v>Soft</v>
          </cell>
        </row>
        <row r="185">
          <cell r="A185" t="str">
            <v>Mannofield West</v>
          </cell>
          <cell r="B185">
            <v>7.84</v>
          </cell>
          <cell r="C185">
            <v>1.29</v>
          </cell>
          <cell r="D185">
            <v>24.87</v>
          </cell>
          <cell r="E185">
            <v>1.74</v>
          </cell>
          <cell r="F185">
            <v>2.4900000000000002</v>
          </cell>
          <cell r="G185">
            <v>1.39</v>
          </cell>
          <cell r="H185" t="str">
            <v>Soft</v>
          </cell>
        </row>
        <row r="186">
          <cell r="A186" t="str">
            <v>Manse Street</v>
          </cell>
          <cell r="B186">
            <v>11.72</v>
          </cell>
          <cell r="C186">
            <v>4.41</v>
          </cell>
          <cell r="D186">
            <v>47.38</v>
          </cell>
          <cell r="E186">
            <v>3.32</v>
          </cell>
          <cell r="F186">
            <v>4.74</v>
          </cell>
          <cell r="G186">
            <v>2.65</v>
          </cell>
          <cell r="H186" t="str">
            <v>Soft</v>
          </cell>
        </row>
        <row r="187">
          <cell r="A187" t="str">
            <v>Marchbank A</v>
          </cell>
          <cell r="B187">
            <v>5.84</v>
          </cell>
          <cell r="C187">
            <v>0.88</v>
          </cell>
          <cell r="D187">
            <v>18.190000000000001</v>
          </cell>
          <cell r="E187">
            <v>1.28</v>
          </cell>
          <cell r="F187">
            <v>1.82</v>
          </cell>
          <cell r="G187">
            <v>1.02</v>
          </cell>
          <cell r="H187" t="str">
            <v>Soft</v>
          </cell>
        </row>
        <row r="188">
          <cell r="A188" t="str">
            <v>Marchbank B</v>
          </cell>
          <cell r="B188">
            <v>4.33</v>
          </cell>
          <cell r="C188">
            <v>0.96</v>
          </cell>
          <cell r="D188">
            <v>14.75</v>
          </cell>
          <cell r="E188">
            <v>1.03</v>
          </cell>
          <cell r="F188">
            <v>1.48</v>
          </cell>
          <cell r="G188">
            <v>0.83</v>
          </cell>
          <cell r="H188" t="str">
            <v>Soft</v>
          </cell>
        </row>
        <row r="189">
          <cell r="A189" t="str">
            <v>Meavaig Western Isles</v>
          </cell>
          <cell r="B189">
            <v>4</v>
          </cell>
          <cell r="C189">
            <v>2</v>
          </cell>
          <cell r="D189">
            <v>18.2</v>
          </cell>
          <cell r="E189">
            <v>1.28</v>
          </cell>
          <cell r="F189">
            <v>1.82</v>
          </cell>
          <cell r="G189">
            <v>1.02</v>
          </cell>
          <cell r="H189" t="str">
            <v>Soft</v>
          </cell>
        </row>
        <row r="190">
          <cell r="A190" t="str">
            <v>Milngavie C1</v>
          </cell>
          <cell r="B190">
            <v>5.51</v>
          </cell>
          <cell r="C190">
            <v>0.6</v>
          </cell>
          <cell r="D190">
            <v>16.21</v>
          </cell>
          <cell r="E190">
            <v>1.1399999999999999</v>
          </cell>
          <cell r="F190">
            <v>1.62</v>
          </cell>
          <cell r="G190">
            <v>0.91</v>
          </cell>
          <cell r="H190" t="str">
            <v>Soft</v>
          </cell>
        </row>
        <row r="191">
          <cell r="A191" t="str">
            <v>Milngavie C2</v>
          </cell>
          <cell r="B191">
            <v>6.03</v>
          </cell>
          <cell r="C191">
            <v>0.66</v>
          </cell>
          <cell r="D191">
            <v>17.760000000000002</v>
          </cell>
          <cell r="E191">
            <v>1.25</v>
          </cell>
          <cell r="F191">
            <v>1.78</v>
          </cell>
          <cell r="G191">
            <v>1</v>
          </cell>
          <cell r="H191" t="str">
            <v>Soft</v>
          </cell>
        </row>
        <row r="192">
          <cell r="A192" t="str">
            <v>Milngavie C3</v>
          </cell>
          <cell r="B192">
            <v>5.51</v>
          </cell>
          <cell r="C192">
            <v>0.6</v>
          </cell>
          <cell r="D192">
            <v>16.21</v>
          </cell>
          <cell r="E192">
            <v>1.1399999999999999</v>
          </cell>
          <cell r="F192">
            <v>1.62</v>
          </cell>
          <cell r="G192">
            <v>0.91</v>
          </cell>
          <cell r="H192" t="str">
            <v>Soft</v>
          </cell>
        </row>
        <row r="193">
          <cell r="A193" t="str">
            <v>Milngavie C4</v>
          </cell>
          <cell r="B193">
            <v>5.44</v>
          </cell>
          <cell r="C193">
            <v>0.6</v>
          </cell>
          <cell r="D193">
            <v>16.04</v>
          </cell>
          <cell r="E193">
            <v>1.1299999999999999</v>
          </cell>
          <cell r="F193">
            <v>1.6</v>
          </cell>
          <cell r="G193">
            <v>0.9</v>
          </cell>
          <cell r="H193" t="str">
            <v>Soft</v>
          </cell>
        </row>
        <row r="194">
          <cell r="A194" t="str">
            <v>Milngavie Gorbals</v>
          </cell>
          <cell r="B194">
            <v>8.0299999999999994</v>
          </cell>
          <cell r="C194">
            <v>0.66</v>
          </cell>
          <cell r="D194">
            <v>22.75</v>
          </cell>
          <cell r="E194">
            <v>1.6</v>
          </cell>
          <cell r="F194">
            <v>2.27</v>
          </cell>
          <cell r="G194">
            <v>1.27</v>
          </cell>
          <cell r="H194" t="str">
            <v>Soft</v>
          </cell>
        </row>
        <row r="195">
          <cell r="A195" t="str">
            <v>Milngavie M1</v>
          </cell>
          <cell r="B195">
            <v>5.36</v>
          </cell>
          <cell r="C195">
            <v>0.6</v>
          </cell>
          <cell r="D195">
            <v>15.84</v>
          </cell>
          <cell r="E195">
            <v>1.1100000000000001</v>
          </cell>
          <cell r="F195">
            <v>1.58</v>
          </cell>
          <cell r="G195">
            <v>0.89</v>
          </cell>
          <cell r="H195" t="str">
            <v>Soft</v>
          </cell>
        </row>
        <row r="196">
          <cell r="A196" t="str">
            <v>Milngavie M2</v>
          </cell>
          <cell r="B196">
            <v>5.29</v>
          </cell>
          <cell r="C196">
            <v>0.61</v>
          </cell>
          <cell r="D196">
            <v>15.71</v>
          </cell>
          <cell r="E196">
            <v>1.1000000000000001</v>
          </cell>
          <cell r="F196">
            <v>1.57</v>
          </cell>
          <cell r="G196">
            <v>0.88</v>
          </cell>
          <cell r="H196" t="str">
            <v>Soft</v>
          </cell>
        </row>
        <row r="197">
          <cell r="A197" t="str">
            <v>Milngavie M3</v>
          </cell>
          <cell r="B197">
            <v>5.31</v>
          </cell>
          <cell r="C197">
            <v>0.6</v>
          </cell>
          <cell r="D197">
            <v>15.72</v>
          </cell>
          <cell r="E197">
            <v>1.1000000000000001</v>
          </cell>
          <cell r="F197">
            <v>1.57</v>
          </cell>
          <cell r="G197">
            <v>0.88</v>
          </cell>
          <cell r="H197" t="str">
            <v>Soft</v>
          </cell>
        </row>
        <row r="198">
          <cell r="A198" t="str">
            <v>Milngavie M4c</v>
          </cell>
          <cell r="B198">
            <v>5.51</v>
          </cell>
          <cell r="C198">
            <v>0.62</v>
          </cell>
          <cell r="D198">
            <v>16.3</v>
          </cell>
          <cell r="E198">
            <v>1.1399999999999999</v>
          </cell>
          <cell r="F198">
            <v>1.63</v>
          </cell>
          <cell r="G198">
            <v>0.91</v>
          </cell>
          <cell r="H198" t="str">
            <v>Soft</v>
          </cell>
        </row>
        <row r="199">
          <cell r="A199" t="str">
            <v>Milngavie M4d</v>
          </cell>
          <cell r="B199">
            <v>5.45</v>
          </cell>
          <cell r="C199">
            <v>0.6</v>
          </cell>
          <cell r="D199">
            <v>16.059999999999999</v>
          </cell>
          <cell r="E199">
            <v>1.1299999999999999</v>
          </cell>
          <cell r="F199">
            <v>1.61</v>
          </cell>
          <cell r="G199">
            <v>0.9</v>
          </cell>
          <cell r="H199" t="str">
            <v>Soft</v>
          </cell>
        </row>
        <row r="200">
          <cell r="A200" t="str">
            <v>Milngavie M5 Drumchapel North</v>
          </cell>
          <cell r="B200">
            <v>5.3</v>
          </cell>
          <cell r="C200">
            <v>0.61</v>
          </cell>
          <cell r="D200">
            <v>15.73</v>
          </cell>
          <cell r="E200">
            <v>1.1000000000000001</v>
          </cell>
          <cell r="F200">
            <v>1.57</v>
          </cell>
          <cell r="G200">
            <v>0.88</v>
          </cell>
          <cell r="H200" t="str">
            <v>Soft</v>
          </cell>
        </row>
        <row r="201">
          <cell r="A201" t="str">
            <v>Milngavie M5 Drumchapel South</v>
          </cell>
          <cell r="B201">
            <v>5.29</v>
          </cell>
          <cell r="C201">
            <v>0.6</v>
          </cell>
          <cell r="D201">
            <v>15.67</v>
          </cell>
          <cell r="E201">
            <v>1.1000000000000001</v>
          </cell>
          <cell r="F201">
            <v>1.57</v>
          </cell>
          <cell r="G201">
            <v>0.88</v>
          </cell>
          <cell r="H201" t="str">
            <v>Soft</v>
          </cell>
        </row>
        <row r="202">
          <cell r="A202" t="str">
            <v>Moffat</v>
          </cell>
          <cell r="B202">
            <v>22.43</v>
          </cell>
          <cell r="C202">
            <v>8.48</v>
          </cell>
          <cell r="D202">
            <v>90.83</v>
          </cell>
          <cell r="E202">
            <v>6.37</v>
          </cell>
          <cell r="F202">
            <v>9.08</v>
          </cell>
          <cell r="G202">
            <v>5.09</v>
          </cell>
          <cell r="H202" t="str">
            <v>Moderately Soft</v>
          </cell>
        </row>
        <row r="203">
          <cell r="A203" t="str">
            <v>Muirdykes</v>
          </cell>
          <cell r="B203">
            <v>7.7</v>
          </cell>
          <cell r="C203">
            <v>2</v>
          </cell>
          <cell r="D203">
            <v>27.44</v>
          </cell>
          <cell r="E203">
            <v>1.92</v>
          </cell>
          <cell r="F203">
            <v>2.74</v>
          </cell>
          <cell r="G203">
            <v>1.54</v>
          </cell>
          <cell r="H203" t="str">
            <v>Soft</v>
          </cell>
        </row>
        <row r="204">
          <cell r="A204" t="str">
            <v>Ness Western Isles</v>
          </cell>
          <cell r="B204">
            <v>1.2</v>
          </cell>
          <cell r="C204">
            <v>1.7</v>
          </cell>
          <cell r="D204">
            <v>9.98</v>
          </cell>
          <cell r="E204">
            <v>0.7</v>
          </cell>
          <cell r="F204">
            <v>1</v>
          </cell>
          <cell r="G204">
            <v>0.56000000000000005</v>
          </cell>
          <cell r="H204" t="str">
            <v>Soft</v>
          </cell>
        </row>
        <row r="205">
          <cell r="A205" t="str">
            <v>Newcastleton</v>
          </cell>
          <cell r="B205">
            <v>57.05</v>
          </cell>
          <cell r="C205">
            <v>19.93</v>
          </cell>
          <cell r="D205">
            <v>224.29</v>
          </cell>
          <cell r="E205">
            <v>15.74</v>
          </cell>
          <cell r="F205">
            <v>22.43</v>
          </cell>
          <cell r="G205">
            <v>12.57</v>
          </cell>
          <cell r="H205" t="str">
            <v>Moderately Hard</v>
          </cell>
        </row>
        <row r="206">
          <cell r="A206" t="str">
            <v>Newmore</v>
          </cell>
          <cell r="B206">
            <v>2.19</v>
          </cell>
          <cell r="C206">
            <v>0.64</v>
          </cell>
          <cell r="D206">
            <v>8.1</v>
          </cell>
          <cell r="E206">
            <v>0.56999999999999995</v>
          </cell>
          <cell r="F206">
            <v>0.81</v>
          </cell>
          <cell r="G206">
            <v>0.45</v>
          </cell>
          <cell r="H206" t="str">
            <v>Soft</v>
          </cell>
        </row>
        <row r="207">
          <cell r="A207" t="str">
            <v>Newmore B</v>
          </cell>
          <cell r="B207">
            <v>2.19</v>
          </cell>
          <cell r="C207">
            <v>0.64</v>
          </cell>
          <cell r="D207">
            <v>8.1</v>
          </cell>
          <cell r="E207">
            <v>0.56999999999999995</v>
          </cell>
          <cell r="F207">
            <v>0.81</v>
          </cell>
          <cell r="G207">
            <v>0.45</v>
          </cell>
          <cell r="H207" t="str">
            <v>Soft</v>
          </cell>
        </row>
        <row r="208">
          <cell r="A208" t="str">
            <v>North Hoy Orkney</v>
          </cell>
          <cell r="B208">
            <v>8.1</v>
          </cell>
          <cell r="C208">
            <v>2.9</v>
          </cell>
          <cell r="D208">
            <v>32.130000000000003</v>
          </cell>
          <cell r="E208">
            <v>2.25</v>
          </cell>
          <cell r="F208">
            <v>3.21</v>
          </cell>
          <cell r="G208">
            <v>1.8</v>
          </cell>
          <cell r="H208" t="str">
            <v>Soft</v>
          </cell>
        </row>
        <row r="209">
          <cell r="A209" t="str">
            <v>North Lochs</v>
          </cell>
          <cell r="B209">
            <v>1.75</v>
          </cell>
          <cell r="C209">
            <v>1.6</v>
          </cell>
          <cell r="D209">
            <v>10.95</v>
          </cell>
          <cell r="E209">
            <v>0.77</v>
          </cell>
          <cell r="F209">
            <v>1.0900000000000001</v>
          </cell>
          <cell r="G209">
            <v>0.61</v>
          </cell>
          <cell r="H209" t="str">
            <v>Soft</v>
          </cell>
        </row>
        <row r="210">
          <cell r="A210" t="str">
            <v>North Ronaldsay Orkney</v>
          </cell>
          <cell r="B210">
            <v>98.8</v>
          </cell>
          <cell r="C210">
            <v>23.1</v>
          </cell>
          <cell r="D210">
            <v>341.49</v>
          </cell>
          <cell r="E210">
            <v>23.96</v>
          </cell>
          <cell r="F210">
            <v>34.15</v>
          </cell>
          <cell r="G210">
            <v>19.13</v>
          </cell>
          <cell r="H210" t="str">
            <v>Hard</v>
          </cell>
        </row>
        <row r="211">
          <cell r="A211" t="str">
            <v>Osedale Skye</v>
          </cell>
          <cell r="B211">
            <v>5.95</v>
          </cell>
          <cell r="C211">
            <v>2.48</v>
          </cell>
          <cell r="D211">
            <v>25.04</v>
          </cell>
          <cell r="E211">
            <v>1.76</v>
          </cell>
          <cell r="F211">
            <v>2.5</v>
          </cell>
          <cell r="G211">
            <v>1.4</v>
          </cell>
          <cell r="H211" t="str">
            <v>Soft</v>
          </cell>
        </row>
        <row r="212">
          <cell r="A212" t="str">
            <v>Papa Stour Shetland</v>
          </cell>
          <cell r="B212">
            <v>12.9</v>
          </cell>
          <cell r="C212">
            <v>5.9</v>
          </cell>
          <cell r="D212">
            <v>56.45</v>
          </cell>
          <cell r="E212">
            <v>3.96</v>
          </cell>
          <cell r="F212">
            <v>5.64</v>
          </cell>
          <cell r="G212">
            <v>3.16</v>
          </cell>
          <cell r="H212" t="str">
            <v>Moderately Soft</v>
          </cell>
        </row>
        <row r="213">
          <cell r="A213" t="str">
            <v>Pateshill</v>
          </cell>
          <cell r="B213">
            <v>11.8</v>
          </cell>
          <cell r="C213">
            <v>1.92</v>
          </cell>
          <cell r="D213">
            <v>37.340000000000003</v>
          </cell>
          <cell r="E213">
            <v>2.62</v>
          </cell>
          <cell r="F213">
            <v>3.73</v>
          </cell>
          <cell r="G213">
            <v>2.09</v>
          </cell>
          <cell r="H213" t="str">
            <v>Soft</v>
          </cell>
        </row>
        <row r="214">
          <cell r="A214" t="str">
            <v>Penwhapple</v>
          </cell>
          <cell r="B214">
            <v>18.989999999999998</v>
          </cell>
          <cell r="C214">
            <v>2.73</v>
          </cell>
          <cell r="D214">
            <v>58.61</v>
          </cell>
          <cell r="E214">
            <v>4.1100000000000003</v>
          </cell>
          <cell r="F214">
            <v>5.86</v>
          </cell>
          <cell r="G214">
            <v>3.28</v>
          </cell>
          <cell r="H214" t="str">
            <v>Moderately Soft</v>
          </cell>
        </row>
        <row r="215">
          <cell r="A215" t="str">
            <v>Penwhirn</v>
          </cell>
          <cell r="B215">
            <v>10.78</v>
          </cell>
          <cell r="C215">
            <v>1.31</v>
          </cell>
          <cell r="D215">
            <v>32.28</v>
          </cell>
          <cell r="E215">
            <v>2.2599999999999998</v>
          </cell>
          <cell r="F215">
            <v>3.23</v>
          </cell>
          <cell r="G215">
            <v>1.81</v>
          </cell>
          <cell r="H215" t="str">
            <v>Soft</v>
          </cell>
        </row>
        <row r="216">
          <cell r="A216" t="str">
            <v>Perth</v>
          </cell>
          <cell r="B216">
            <v>16.54</v>
          </cell>
          <cell r="C216">
            <v>1.89</v>
          </cell>
          <cell r="D216">
            <v>49.04</v>
          </cell>
          <cell r="E216">
            <v>3.44</v>
          </cell>
          <cell r="F216">
            <v>4.9000000000000004</v>
          </cell>
          <cell r="G216">
            <v>2.75</v>
          </cell>
          <cell r="H216" t="str">
            <v>Soft</v>
          </cell>
        </row>
        <row r="217">
          <cell r="A217" t="str">
            <v>Picketlaw</v>
          </cell>
          <cell r="B217">
            <v>21.43</v>
          </cell>
          <cell r="C217">
            <v>1.32</v>
          </cell>
          <cell r="D217">
            <v>58.9</v>
          </cell>
          <cell r="E217">
            <v>4.13</v>
          </cell>
          <cell r="F217">
            <v>5.89</v>
          </cell>
          <cell r="G217">
            <v>3.3</v>
          </cell>
          <cell r="H217" t="str">
            <v>Moderately Soft</v>
          </cell>
        </row>
        <row r="218">
          <cell r="A218" t="str">
            <v>Poolewe Regional</v>
          </cell>
          <cell r="B218">
            <v>1.2</v>
          </cell>
          <cell r="C218">
            <v>0.52</v>
          </cell>
          <cell r="D218">
            <v>5.13</v>
          </cell>
          <cell r="E218">
            <v>0.36</v>
          </cell>
          <cell r="F218">
            <v>0.51</v>
          </cell>
          <cell r="G218">
            <v>0.28999999999999998</v>
          </cell>
          <cell r="H218" t="str">
            <v>Soft</v>
          </cell>
        </row>
        <row r="219">
          <cell r="A219" t="str">
            <v>Port Charlotte Islay</v>
          </cell>
          <cell r="B219">
            <v>4.6500000000000004</v>
          </cell>
          <cell r="C219">
            <v>2.83</v>
          </cell>
          <cell r="D219">
            <v>23.24</v>
          </cell>
          <cell r="E219">
            <v>1.63</v>
          </cell>
          <cell r="F219">
            <v>2.3199999999999998</v>
          </cell>
          <cell r="G219">
            <v>1.3</v>
          </cell>
          <cell r="H219" t="str">
            <v>Soft</v>
          </cell>
        </row>
        <row r="220">
          <cell r="A220" t="str">
            <v>Portree Torvaig Skye</v>
          </cell>
          <cell r="B220">
            <v>8.4</v>
          </cell>
          <cell r="C220">
            <v>1.03</v>
          </cell>
          <cell r="D220">
            <v>25.19</v>
          </cell>
          <cell r="E220">
            <v>1.77</v>
          </cell>
          <cell r="F220">
            <v>2.52</v>
          </cell>
          <cell r="G220">
            <v>1.41</v>
          </cell>
          <cell r="H220" t="str">
            <v>Soft</v>
          </cell>
        </row>
        <row r="221">
          <cell r="A221" t="str">
            <v>Raasay Skye</v>
          </cell>
          <cell r="B221">
            <v>6.03</v>
          </cell>
          <cell r="C221">
            <v>1.65</v>
          </cell>
          <cell r="D221">
            <v>21.83</v>
          </cell>
          <cell r="E221">
            <v>1.53</v>
          </cell>
          <cell r="F221">
            <v>2.1800000000000002</v>
          </cell>
          <cell r="G221">
            <v>1.22</v>
          </cell>
          <cell r="H221" t="str">
            <v>Soft</v>
          </cell>
        </row>
        <row r="222">
          <cell r="A222" t="str">
            <v>Rawburn</v>
          </cell>
          <cell r="B222">
            <v>18.440000000000001</v>
          </cell>
          <cell r="C222">
            <v>4.3099999999999996</v>
          </cell>
          <cell r="D222">
            <v>63.73</v>
          </cell>
          <cell r="E222">
            <v>4.47</v>
          </cell>
          <cell r="F222">
            <v>6.37</v>
          </cell>
          <cell r="G222">
            <v>3.57</v>
          </cell>
          <cell r="H222" t="str">
            <v>Moderately Soft</v>
          </cell>
        </row>
        <row r="223">
          <cell r="A223" t="str">
            <v>Rhenigidale Western Isles</v>
          </cell>
          <cell r="B223">
            <v>3.5</v>
          </cell>
          <cell r="C223">
            <v>0.5</v>
          </cell>
          <cell r="D223">
            <v>10.79</v>
          </cell>
          <cell r="E223">
            <v>0.76</v>
          </cell>
          <cell r="F223">
            <v>1.08</v>
          </cell>
          <cell r="G223">
            <v>0.6</v>
          </cell>
          <cell r="H223" t="str">
            <v>Soft</v>
          </cell>
        </row>
        <row r="224">
          <cell r="A224" t="str">
            <v>Ringford &amp; Glengap</v>
          </cell>
          <cell r="B224">
            <v>17.43</v>
          </cell>
          <cell r="C224">
            <v>3.52</v>
          </cell>
          <cell r="D224">
            <v>57.96</v>
          </cell>
          <cell r="E224">
            <v>4.07</v>
          </cell>
          <cell r="F224">
            <v>5.8</v>
          </cell>
          <cell r="G224">
            <v>3.25</v>
          </cell>
          <cell r="H224" t="str">
            <v>Moderately Soft</v>
          </cell>
        </row>
        <row r="225">
          <cell r="A225" t="str">
            <v>Roberton</v>
          </cell>
          <cell r="B225">
            <v>18.05</v>
          </cell>
          <cell r="C225">
            <v>3.58</v>
          </cell>
          <cell r="D225">
            <v>59.76</v>
          </cell>
          <cell r="E225">
            <v>4.1900000000000004</v>
          </cell>
          <cell r="F225">
            <v>5.98</v>
          </cell>
          <cell r="G225">
            <v>3.35</v>
          </cell>
          <cell r="H225" t="str">
            <v>Moderately Soft</v>
          </cell>
        </row>
        <row r="226">
          <cell r="A226" t="str">
            <v>Rosebery A</v>
          </cell>
          <cell r="B226">
            <v>5</v>
          </cell>
          <cell r="C226">
            <v>1.74</v>
          </cell>
          <cell r="D226">
            <v>19.63</v>
          </cell>
          <cell r="E226">
            <v>1.38</v>
          </cell>
          <cell r="F226">
            <v>1.96</v>
          </cell>
          <cell r="G226">
            <v>1.1000000000000001</v>
          </cell>
          <cell r="H226" t="str">
            <v>Soft</v>
          </cell>
        </row>
        <row r="227">
          <cell r="A227" t="str">
            <v>Rosebery B</v>
          </cell>
          <cell r="B227">
            <v>5.66</v>
          </cell>
          <cell r="C227">
            <v>1.46</v>
          </cell>
          <cell r="D227">
            <v>20.13</v>
          </cell>
          <cell r="E227">
            <v>1.41</v>
          </cell>
          <cell r="F227">
            <v>2.0099999999999998</v>
          </cell>
          <cell r="G227">
            <v>1.1299999999999999</v>
          </cell>
          <cell r="H227" t="str">
            <v>Soft</v>
          </cell>
        </row>
        <row r="228">
          <cell r="A228" t="str">
            <v>Rosebery Castle Moffat</v>
          </cell>
          <cell r="B228">
            <v>16.510000000000002</v>
          </cell>
          <cell r="C228">
            <v>4.34</v>
          </cell>
          <cell r="D228">
            <v>59.04</v>
          </cell>
          <cell r="E228">
            <v>4.1399999999999997</v>
          </cell>
          <cell r="F228">
            <v>5.9</v>
          </cell>
          <cell r="G228">
            <v>3.31</v>
          </cell>
          <cell r="H228" t="str">
            <v>Moderately Soft</v>
          </cell>
        </row>
        <row r="229">
          <cell r="A229" t="str">
            <v>Rosebery Hopes</v>
          </cell>
          <cell r="B229">
            <v>7.8</v>
          </cell>
          <cell r="C229">
            <v>2.35</v>
          </cell>
          <cell r="D229">
            <v>29.12</v>
          </cell>
          <cell r="E229">
            <v>2.04</v>
          </cell>
          <cell r="F229">
            <v>2.91</v>
          </cell>
          <cell r="G229">
            <v>1.63</v>
          </cell>
          <cell r="H229" t="str">
            <v>Soft</v>
          </cell>
        </row>
        <row r="230">
          <cell r="A230" t="str">
            <v>Rousay School Orkney</v>
          </cell>
          <cell r="B230">
            <v>62.5</v>
          </cell>
          <cell r="C230">
            <v>26.6</v>
          </cell>
          <cell r="D230">
            <v>265.32</v>
          </cell>
          <cell r="E230">
            <v>18.61</v>
          </cell>
          <cell r="F230">
            <v>26.53</v>
          </cell>
          <cell r="G230">
            <v>14.87</v>
          </cell>
          <cell r="H230" t="str">
            <v>Hard</v>
          </cell>
        </row>
        <row r="231">
          <cell r="A231" t="str">
            <v>Saddell</v>
          </cell>
          <cell r="B231">
            <v>29</v>
          </cell>
          <cell r="C231">
            <v>7.2</v>
          </cell>
          <cell r="D231">
            <v>101.96</v>
          </cell>
          <cell r="E231">
            <v>7.15</v>
          </cell>
          <cell r="F231">
            <v>10.199999999999999</v>
          </cell>
          <cell r="G231">
            <v>5.71</v>
          </cell>
          <cell r="H231" t="str">
            <v>Slightly Hard</v>
          </cell>
        </row>
        <row r="232">
          <cell r="A232" t="str">
            <v>Sanday Orkney</v>
          </cell>
          <cell r="B232">
            <v>33.17</v>
          </cell>
          <cell r="C232">
            <v>14.73</v>
          </cell>
          <cell r="D232">
            <v>143.33000000000001</v>
          </cell>
          <cell r="E232">
            <v>10.06</v>
          </cell>
          <cell r="F232">
            <v>14.33</v>
          </cell>
          <cell r="G232">
            <v>8.0299999999999994</v>
          </cell>
          <cell r="H232" t="str">
            <v>Slightly Hard</v>
          </cell>
        </row>
        <row r="233">
          <cell r="A233" t="str">
            <v>Sanna</v>
          </cell>
          <cell r="B233">
            <v>3.9</v>
          </cell>
          <cell r="C233">
            <v>2.2000000000000002</v>
          </cell>
          <cell r="D233">
            <v>18.78</v>
          </cell>
          <cell r="E233">
            <v>1.32</v>
          </cell>
          <cell r="F233">
            <v>1.88</v>
          </cell>
          <cell r="G233">
            <v>1.05</v>
          </cell>
          <cell r="H233" t="str">
            <v>Soft</v>
          </cell>
        </row>
        <row r="234">
          <cell r="A234" t="str">
            <v>Savalbeg</v>
          </cell>
          <cell r="B234">
            <v>16.350000000000001</v>
          </cell>
          <cell r="C234">
            <v>0.92</v>
          </cell>
          <cell r="D234">
            <v>44.58</v>
          </cell>
          <cell r="E234">
            <v>3.13</v>
          </cell>
          <cell r="F234">
            <v>4.46</v>
          </cell>
          <cell r="G234">
            <v>2.5</v>
          </cell>
          <cell r="H234" t="str">
            <v>Soft</v>
          </cell>
        </row>
        <row r="235">
          <cell r="A235" t="str">
            <v>Scourie</v>
          </cell>
          <cell r="B235">
            <v>3.33</v>
          </cell>
          <cell r="C235">
            <v>1.75</v>
          </cell>
          <cell r="D235">
            <v>15.5</v>
          </cell>
          <cell r="E235">
            <v>1.0900000000000001</v>
          </cell>
          <cell r="F235">
            <v>1.55</v>
          </cell>
          <cell r="G235">
            <v>0.87</v>
          </cell>
          <cell r="H235" t="str">
            <v>Soft</v>
          </cell>
        </row>
        <row r="236">
          <cell r="A236" t="str">
            <v>Shieldaig</v>
          </cell>
          <cell r="B236">
            <v>2.7</v>
          </cell>
          <cell r="C236">
            <v>0.7</v>
          </cell>
          <cell r="D236">
            <v>9.61</v>
          </cell>
          <cell r="E236">
            <v>0.67</v>
          </cell>
          <cell r="F236">
            <v>0.96</v>
          </cell>
          <cell r="G236">
            <v>0.54</v>
          </cell>
          <cell r="H236" t="str">
            <v>Soft</v>
          </cell>
        </row>
        <row r="237">
          <cell r="A237" t="str">
            <v>Skerries Shetland</v>
          </cell>
          <cell r="B237">
            <v>3.8</v>
          </cell>
          <cell r="C237">
            <v>1.4</v>
          </cell>
          <cell r="D237">
            <v>15.24</v>
          </cell>
          <cell r="E237">
            <v>1.07</v>
          </cell>
          <cell r="F237">
            <v>1.52</v>
          </cell>
          <cell r="G237">
            <v>0.85</v>
          </cell>
          <cell r="H237" t="str">
            <v>Soft</v>
          </cell>
        </row>
        <row r="238">
          <cell r="A238" t="str">
            <v>South Hoy Orkney</v>
          </cell>
          <cell r="B238">
            <v>4.75</v>
          </cell>
          <cell r="C238">
            <v>3.25</v>
          </cell>
          <cell r="D238">
            <v>25.22</v>
          </cell>
          <cell r="E238">
            <v>1.77</v>
          </cell>
          <cell r="F238">
            <v>2.52</v>
          </cell>
          <cell r="G238">
            <v>1.41</v>
          </cell>
          <cell r="H238" t="str">
            <v>Soft</v>
          </cell>
        </row>
        <row r="239">
          <cell r="A239" t="str">
            <v>South Uist Western Isles</v>
          </cell>
          <cell r="B239">
            <v>1.75</v>
          </cell>
          <cell r="C239">
            <v>1.95</v>
          </cell>
          <cell r="D239">
            <v>12.38</v>
          </cell>
          <cell r="E239">
            <v>0.87</v>
          </cell>
          <cell r="F239">
            <v>1.24</v>
          </cell>
          <cell r="G239">
            <v>0.69</v>
          </cell>
          <cell r="H239" t="str">
            <v>Soft</v>
          </cell>
        </row>
        <row r="240">
          <cell r="A240" t="str">
            <v>Spynie</v>
          </cell>
          <cell r="B240">
            <v>39.409999999999997</v>
          </cell>
          <cell r="C240">
            <v>1.5</v>
          </cell>
          <cell r="D240">
            <v>104.5</v>
          </cell>
          <cell r="E240">
            <v>7.33</v>
          </cell>
          <cell r="F240">
            <v>10.45</v>
          </cell>
          <cell r="G240">
            <v>5.85</v>
          </cell>
          <cell r="H240" t="str">
            <v>Slightly Hard</v>
          </cell>
        </row>
        <row r="241">
          <cell r="A241" t="str">
            <v>Staffin Skye</v>
          </cell>
          <cell r="B241">
            <v>10.7</v>
          </cell>
          <cell r="C241">
            <v>1.6</v>
          </cell>
          <cell r="D241">
            <v>33.28</v>
          </cell>
          <cell r="E241">
            <v>2.33</v>
          </cell>
          <cell r="F241">
            <v>3.33</v>
          </cell>
          <cell r="G241">
            <v>1.86</v>
          </cell>
          <cell r="H241" t="str">
            <v>Soft</v>
          </cell>
        </row>
        <row r="242">
          <cell r="A242" t="str">
            <v>Stoer</v>
          </cell>
          <cell r="B242">
            <v>3.48</v>
          </cell>
          <cell r="C242">
            <v>1.8</v>
          </cell>
          <cell r="D242">
            <v>16.079999999999998</v>
          </cell>
          <cell r="E242">
            <v>1.1299999999999999</v>
          </cell>
          <cell r="F242">
            <v>1.61</v>
          </cell>
          <cell r="G242">
            <v>0.9</v>
          </cell>
          <cell r="H242" t="str">
            <v>Soft</v>
          </cell>
        </row>
        <row r="243">
          <cell r="A243" t="str">
            <v>Stornoway Western Isles</v>
          </cell>
          <cell r="B243">
            <v>1.25</v>
          </cell>
          <cell r="C243">
            <v>1.61</v>
          </cell>
          <cell r="D243">
            <v>9.74</v>
          </cell>
          <cell r="E243">
            <v>0.68</v>
          </cell>
          <cell r="F243">
            <v>0.97</v>
          </cell>
          <cell r="G243">
            <v>0.55000000000000004</v>
          </cell>
          <cell r="H243" t="str">
            <v>Soft</v>
          </cell>
        </row>
        <row r="244">
          <cell r="A244" t="str">
            <v>Strathyre</v>
          </cell>
          <cell r="B244">
            <v>5.9</v>
          </cell>
          <cell r="C244">
            <v>0.85</v>
          </cell>
          <cell r="D244">
            <v>18.22</v>
          </cell>
          <cell r="E244">
            <v>1.28</v>
          </cell>
          <cell r="F244">
            <v>1.82</v>
          </cell>
          <cell r="G244">
            <v>1.02</v>
          </cell>
          <cell r="H244" t="str">
            <v>Soft</v>
          </cell>
        </row>
        <row r="245">
          <cell r="A245" t="str">
            <v>Stronachlachar</v>
          </cell>
          <cell r="B245">
            <v>2.1</v>
          </cell>
          <cell r="C245">
            <v>0.4</v>
          </cell>
          <cell r="D245">
            <v>6.88</v>
          </cell>
          <cell r="E245">
            <v>0.48</v>
          </cell>
          <cell r="F245">
            <v>0.69</v>
          </cell>
          <cell r="G245">
            <v>0.39</v>
          </cell>
          <cell r="H245" t="str">
            <v>Soft</v>
          </cell>
        </row>
        <row r="246">
          <cell r="A246" t="str">
            <v>Stronsay Orkney</v>
          </cell>
          <cell r="B246">
            <v>75.03</v>
          </cell>
          <cell r="C246">
            <v>22.18</v>
          </cell>
          <cell r="D246">
            <v>278.39999999999998</v>
          </cell>
          <cell r="E246">
            <v>19.53</v>
          </cell>
          <cell r="F246">
            <v>27.84</v>
          </cell>
          <cell r="G246">
            <v>15.6</v>
          </cell>
          <cell r="H246" t="str">
            <v>Hard</v>
          </cell>
        </row>
        <row r="247">
          <cell r="A247" t="str">
            <v>Strontian</v>
          </cell>
          <cell r="B247">
            <v>2.48</v>
          </cell>
          <cell r="C247">
            <v>0.45</v>
          </cell>
          <cell r="D247">
            <v>8.0399999999999991</v>
          </cell>
          <cell r="E247">
            <v>0.56000000000000005</v>
          </cell>
          <cell r="F247">
            <v>0.8</v>
          </cell>
          <cell r="G247">
            <v>0.45</v>
          </cell>
          <cell r="H247" t="str">
            <v>Soft</v>
          </cell>
        </row>
        <row r="248">
          <cell r="A248" t="str">
            <v>Suainaval Western Isles</v>
          </cell>
          <cell r="B248">
            <v>1.38</v>
          </cell>
          <cell r="C248">
            <v>1.25</v>
          </cell>
          <cell r="D248">
            <v>8.58</v>
          </cell>
          <cell r="E248">
            <v>0.6</v>
          </cell>
          <cell r="F248">
            <v>0.86</v>
          </cell>
          <cell r="G248">
            <v>0.48</v>
          </cell>
          <cell r="H248" t="str">
            <v>Soft</v>
          </cell>
        </row>
        <row r="249">
          <cell r="A249" t="str">
            <v>Tarbert Argyll</v>
          </cell>
          <cell r="B249">
            <v>1.2</v>
          </cell>
          <cell r="C249">
            <v>0.8</v>
          </cell>
          <cell r="D249">
            <v>6.28</v>
          </cell>
          <cell r="E249">
            <v>0.44</v>
          </cell>
          <cell r="F249">
            <v>0.63</v>
          </cell>
          <cell r="G249">
            <v>0.35</v>
          </cell>
          <cell r="H249" t="str">
            <v>Soft</v>
          </cell>
        </row>
        <row r="250">
          <cell r="A250" t="str">
            <v>Tarbert Western Isles</v>
          </cell>
          <cell r="B250">
            <v>1.2</v>
          </cell>
          <cell r="C250">
            <v>1.6</v>
          </cell>
          <cell r="D250">
            <v>9.57</v>
          </cell>
          <cell r="E250">
            <v>0.67</v>
          </cell>
          <cell r="F250">
            <v>0.96</v>
          </cell>
          <cell r="G250">
            <v>0.54</v>
          </cell>
          <cell r="H250" t="str">
            <v>Soft</v>
          </cell>
        </row>
        <row r="251">
          <cell r="A251" t="str">
            <v>Taynuilt</v>
          </cell>
          <cell r="B251">
            <v>3.55</v>
          </cell>
          <cell r="C251">
            <v>0.52</v>
          </cell>
          <cell r="D251">
            <v>11</v>
          </cell>
          <cell r="E251">
            <v>0.77</v>
          </cell>
          <cell r="F251">
            <v>1.1000000000000001</v>
          </cell>
          <cell r="G251">
            <v>0.62</v>
          </cell>
          <cell r="H251" t="str">
            <v>Soft</v>
          </cell>
        </row>
        <row r="252">
          <cell r="A252" t="str">
            <v>Teangue Skye</v>
          </cell>
          <cell r="B252">
            <v>3.25</v>
          </cell>
          <cell r="C252">
            <v>0.72</v>
          </cell>
          <cell r="D252">
            <v>11.07</v>
          </cell>
          <cell r="E252">
            <v>0.78</v>
          </cell>
          <cell r="F252">
            <v>1.1100000000000001</v>
          </cell>
          <cell r="G252">
            <v>0.62</v>
          </cell>
          <cell r="H252" t="str">
            <v>Soft</v>
          </cell>
        </row>
        <row r="253">
          <cell r="A253" t="str">
            <v>Terregles</v>
          </cell>
          <cell r="B253">
            <v>28.79</v>
          </cell>
          <cell r="C253">
            <v>13.45</v>
          </cell>
          <cell r="D253">
            <v>127.14</v>
          </cell>
          <cell r="E253">
            <v>8.92</v>
          </cell>
          <cell r="F253">
            <v>12.71</v>
          </cell>
          <cell r="G253">
            <v>7.12</v>
          </cell>
          <cell r="H253" t="str">
            <v>Slightly Hard</v>
          </cell>
        </row>
        <row r="254">
          <cell r="A254" t="str">
            <v>Tighnabruaich</v>
          </cell>
          <cell r="B254">
            <v>5.92</v>
          </cell>
          <cell r="C254">
            <v>0.8</v>
          </cell>
          <cell r="D254">
            <v>18.059999999999999</v>
          </cell>
          <cell r="E254">
            <v>1.27</v>
          </cell>
          <cell r="F254">
            <v>1.81</v>
          </cell>
          <cell r="G254">
            <v>1.01</v>
          </cell>
          <cell r="H254" t="str">
            <v>Soft</v>
          </cell>
        </row>
        <row r="255">
          <cell r="A255" t="str">
            <v>Tiree</v>
          </cell>
          <cell r="B255">
            <v>108.97</v>
          </cell>
          <cell r="C255">
            <v>11</v>
          </cell>
          <cell r="D255">
            <v>317.11</v>
          </cell>
          <cell r="E255">
            <v>22.25</v>
          </cell>
          <cell r="F255">
            <v>31.71</v>
          </cell>
          <cell r="G255">
            <v>17.77</v>
          </cell>
          <cell r="H255" t="str">
            <v>Hard</v>
          </cell>
        </row>
        <row r="256">
          <cell r="A256" t="str">
            <v>Tobermory Mull</v>
          </cell>
          <cell r="B256">
            <v>3.5</v>
          </cell>
          <cell r="C256">
            <v>2.12</v>
          </cell>
          <cell r="D256">
            <v>17.45</v>
          </cell>
          <cell r="E256">
            <v>1.22</v>
          </cell>
          <cell r="F256">
            <v>1.74</v>
          </cell>
          <cell r="G256">
            <v>0.98</v>
          </cell>
          <cell r="H256" t="str">
            <v>Soft</v>
          </cell>
        </row>
        <row r="257">
          <cell r="A257" t="str">
            <v>Tomatin</v>
          </cell>
          <cell r="B257">
            <v>8.07</v>
          </cell>
          <cell r="C257">
            <v>3.2</v>
          </cell>
          <cell r="D257">
            <v>33.29</v>
          </cell>
          <cell r="E257">
            <v>2.34</v>
          </cell>
          <cell r="F257">
            <v>3.33</v>
          </cell>
          <cell r="G257">
            <v>1.87</v>
          </cell>
          <cell r="H257" t="str">
            <v>Soft</v>
          </cell>
        </row>
        <row r="258">
          <cell r="A258" t="str">
            <v>Tomich</v>
          </cell>
          <cell r="B258">
            <v>8.65</v>
          </cell>
          <cell r="C258">
            <v>7.88</v>
          </cell>
          <cell r="D258">
            <v>53.98</v>
          </cell>
          <cell r="E258">
            <v>3.79</v>
          </cell>
          <cell r="F258">
            <v>5.4</v>
          </cell>
          <cell r="G258">
            <v>3.02</v>
          </cell>
          <cell r="H258" t="str">
            <v>Moderately Soft</v>
          </cell>
        </row>
        <row r="259">
          <cell r="A259" t="str">
            <v>Tomnavoulin</v>
          </cell>
          <cell r="B259">
            <v>15.55</v>
          </cell>
          <cell r="C259">
            <v>3.12</v>
          </cell>
          <cell r="D259">
            <v>51.63</v>
          </cell>
          <cell r="E259">
            <v>3.62</v>
          </cell>
          <cell r="F259">
            <v>5.16</v>
          </cell>
          <cell r="G259">
            <v>2.89</v>
          </cell>
          <cell r="H259" t="str">
            <v>Moderately Soft</v>
          </cell>
        </row>
        <row r="260">
          <cell r="A260" t="str">
            <v>Torra Islay</v>
          </cell>
          <cell r="B260">
            <v>1.35</v>
          </cell>
          <cell r="C260">
            <v>1.4</v>
          </cell>
          <cell r="D260">
            <v>9.1300000000000008</v>
          </cell>
          <cell r="E260">
            <v>0.64</v>
          </cell>
          <cell r="F260">
            <v>0.91</v>
          </cell>
          <cell r="G260">
            <v>0.51</v>
          </cell>
          <cell r="H260" t="str">
            <v>Soft</v>
          </cell>
        </row>
        <row r="261">
          <cell r="A261" t="str">
            <v>Torridon</v>
          </cell>
          <cell r="B261">
            <v>24.5</v>
          </cell>
          <cell r="C261">
            <v>1.1000000000000001</v>
          </cell>
          <cell r="D261">
            <v>65.650000000000006</v>
          </cell>
          <cell r="E261">
            <v>4.6100000000000003</v>
          </cell>
          <cell r="F261">
            <v>6.57</v>
          </cell>
          <cell r="G261">
            <v>3.68</v>
          </cell>
          <cell r="H261" t="str">
            <v>Moderately Soft</v>
          </cell>
        </row>
        <row r="262">
          <cell r="A262" t="str">
            <v>Tullich</v>
          </cell>
          <cell r="B262">
            <v>8.81</v>
          </cell>
          <cell r="C262">
            <v>2.4900000000000002</v>
          </cell>
          <cell r="D262">
            <v>32.22</v>
          </cell>
          <cell r="E262">
            <v>2.2599999999999998</v>
          </cell>
          <cell r="F262">
            <v>3.22</v>
          </cell>
          <cell r="G262">
            <v>1.81</v>
          </cell>
          <cell r="H262" t="str">
            <v>Soft</v>
          </cell>
        </row>
        <row r="263">
          <cell r="A263" t="str">
            <v>Turret A</v>
          </cell>
          <cell r="B263">
            <v>4.97</v>
          </cell>
          <cell r="C263">
            <v>1.06</v>
          </cell>
          <cell r="D263">
            <v>16.760000000000002</v>
          </cell>
          <cell r="E263">
            <v>1.18</v>
          </cell>
          <cell r="F263">
            <v>1.68</v>
          </cell>
          <cell r="G263">
            <v>0.94</v>
          </cell>
          <cell r="H263" t="str">
            <v>Soft</v>
          </cell>
        </row>
        <row r="264">
          <cell r="A264" t="str">
            <v>Turret B</v>
          </cell>
          <cell r="B264">
            <v>5.25</v>
          </cell>
          <cell r="C264">
            <v>1.04</v>
          </cell>
          <cell r="D264">
            <v>17.38</v>
          </cell>
          <cell r="E264">
            <v>1.22</v>
          </cell>
          <cell r="F264">
            <v>1.74</v>
          </cell>
          <cell r="G264">
            <v>0.97</v>
          </cell>
          <cell r="H264" t="str">
            <v>Soft</v>
          </cell>
        </row>
        <row r="265">
          <cell r="A265" t="str">
            <v>Turret C</v>
          </cell>
          <cell r="B265">
            <v>4.92</v>
          </cell>
          <cell r="C265">
            <v>1.04</v>
          </cell>
          <cell r="D265">
            <v>16.55</v>
          </cell>
          <cell r="E265">
            <v>1.1599999999999999</v>
          </cell>
          <cell r="F265">
            <v>1.66</v>
          </cell>
          <cell r="G265">
            <v>0.93</v>
          </cell>
          <cell r="H265" t="str">
            <v>Soft</v>
          </cell>
        </row>
        <row r="266">
          <cell r="A266" t="str">
            <v>Turret/Balmore/Carron Valley</v>
          </cell>
          <cell r="B266">
            <v>10</v>
          </cell>
          <cell r="C266">
            <v>0.94</v>
          </cell>
          <cell r="D266">
            <v>28.82</v>
          </cell>
          <cell r="E266">
            <v>2.02</v>
          </cell>
          <cell r="F266">
            <v>2.88</v>
          </cell>
          <cell r="G266">
            <v>1.61</v>
          </cell>
          <cell r="H266" t="str">
            <v>Soft</v>
          </cell>
        </row>
        <row r="267">
          <cell r="A267" t="str">
            <v>Turriff</v>
          </cell>
          <cell r="B267">
            <v>16.690000000000001</v>
          </cell>
          <cell r="C267">
            <v>4.8600000000000003</v>
          </cell>
          <cell r="D267">
            <v>61.63</v>
          </cell>
          <cell r="E267">
            <v>4.32</v>
          </cell>
          <cell r="F267">
            <v>6.16</v>
          </cell>
          <cell r="G267">
            <v>3.45</v>
          </cell>
          <cell r="H267" t="str">
            <v>Moderately Soft</v>
          </cell>
        </row>
        <row r="268">
          <cell r="A268" t="str">
            <v>Tyndrum</v>
          </cell>
          <cell r="B268">
            <v>7.3</v>
          </cell>
          <cell r="C268">
            <v>0.52</v>
          </cell>
          <cell r="D268">
            <v>20.350000000000001</v>
          </cell>
          <cell r="E268">
            <v>1.43</v>
          </cell>
          <cell r="F268">
            <v>2.04</v>
          </cell>
          <cell r="G268">
            <v>1.1399999999999999</v>
          </cell>
          <cell r="H268" t="str">
            <v>Soft</v>
          </cell>
        </row>
        <row r="269">
          <cell r="A269" t="str">
            <v>Ullapool</v>
          </cell>
          <cell r="B269">
            <v>5.5</v>
          </cell>
          <cell r="C269">
            <v>1.8</v>
          </cell>
          <cell r="D269">
            <v>21.12</v>
          </cell>
          <cell r="E269">
            <v>1.48</v>
          </cell>
          <cell r="F269">
            <v>2.11</v>
          </cell>
          <cell r="G269">
            <v>1.18</v>
          </cell>
          <cell r="H269" t="str">
            <v>Soft</v>
          </cell>
        </row>
        <row r="270">
          <cell r="A270" t="str">
            <v>Unst Shetland</v>
          </cell>
          <cell r="B270">
            <v>3.77</v>
          </cell>
          <cell r="C270">
            <v>3.83</v>
          </cell>
          <cell r="D270">
            <v>25.16</v>
          </cell>
          <cell r="E270">
            <v>1.76</v>
          </cell>
          <cell r="F270">
            <v>2.52</v>
          </cell>
          <cell r="G270">
            <v>1.41</v>
          </cell>
          <cell r="H270" t="str">
            <v>Soft</v>
          </cell>
        </row>
        <row r="271">
          <cell r="A271" t="str">
            <v>Waternish Skye</v>
          </cell>
          <cell r="B271">
            <v>13.5</v>
          </cell>
          <cell r="C271">
            <v>7.7</v>
          </cell>
          <cell r="D271">
            <v>65.34</v>
          </cell>
          <cell r="E271">
            <v>4.58</v>
          </cell>
          <cell r="F271">
            <v>6.53</v>
          </cell>
          <cell r="G271">
            <v>3.66</v>
          </cell>
          <cell r="H271" t="str">
            <v>Moderately Soft</v>
          </cell>
        </row>
        <row r="272">
          <cell r="A272" t="str">
            <v>West Lewis Western Isles</v>
          </cell>
          <cell r="B272">
            <v>1.85</v>
          </cell>
          <cell r="C272">
            <v>2.67</v>
          </cell>
          <cell r="D272">
            <v>15.59</v>
          </cell>
          <cell r="E272">
            <v>1.0900000000000001</v>
          </cell>
          <cell r="F272">
            <v>1.56</v>
          </cell>
          <cell r="G272">
            <v>0.87</v>
          </cell>
          <cell r="H272" t="str">
            <v>Soft</v>
          </cell>
        </row>
        <row r="273">
          <cell r="A273" t="str">
            <v>Westray Orkney</v>
          </cell>
          <cell r="B273">
            <v>54.5</v>
          </cell>
          <cell r="C273">
            <v>15.43</v>
          </cell>
          <cell r="D273">
            <v>199.43</v>
          </cell>
          <cell r="E273">
            <v>13.99</v>
          </cell>
          <cell r="F273">
            <v>19.940000000000001</v>
          </cell>
          <cell r="G273">
            <v>11.17</v>
          </cell>
          <cell r="H273" t="str">
            <v>Moderately Hard</v>
          </cell>
        </row>
        <row r="274">
          <cell r="A274" t="str">
            <v>Whalsay Shetland</v>
          </cell>
          <cell r="B274">
            <v>15.82</v>
          </cell>
          <cell r="C274">
            <v>0.4</v>
          </cell>
          <cell r="D274">
            <v>41.12</v>
          </cell>
          <cell r="E274">
            <v>2.88</v>
          </cell>
          <cell r="F274">
            <v>4.1100000000000003</v>
          </cell>
          <cell r="G274">
            <v>2.2999999999999998</v>
          </cell>
          <cell r="H274" t="str">
            <v>Soft</v>
          </cell>
        </row>
        <row r="275">
          <cell r="A275" t="str">
            <v>Whitehillocks</v>
          </cell>
          <cell r="B275">
            <v>13.51</v>
          </cell>
          <cell r="C275">
            <v>0.68</v>
          </cell>
          <cell r="D275">
            <v>36.5</v>
          </cell>
          <cell r="E275">
            <v>2.56</v>
          </cell>
          <cell r="F275">
            <v>3.65</v>
          </cell>
          <cell r="G275">
            <v>2.0499999999999998</v>
          </cell>
          <cell r="H275" t="str">
            <v>Soft</v>
          </cell>
        </row>
        <row r="276">
          <cell r="A276" t="str">
            <v>Winterhope</v>
          </cell>
          <cell r="B276">
            <v>10.62</v>
          </cell>
          <cell r="C276">
            <v>3.25</v>
          </cell>
          <cell r="D276">
            <v>39.86</v>
          </cell>
          <cell r="E276">
            <v>2.8</v>
          </cell>
          <cell r="F276">
            <v>3.99</v>
          </cell>
          <cell r="G276">
            <v>2.23</v>
          </cell>
          <cell r="H276" t="str">
            <v>Soft</v>
          </cell>
        </row>
        <row r="277">
          <cell r="A277" t="str">
            <v>Yarrowfeus</v>
          </cell>
          <cell r="B277">
            <v>14.5</v>
          </cell>
          <cell r="C277">
            <v>4.3</v>
          </cell>
          <cell r="D277">
            <v>53.86</v>
          </cell>
          <cell r="E277">
            <v>3.78</v>
          </cell>
          <cell r="F277">
            <v>5.39</v>
          </cell>
          <cell r="G277">
            <v>3.02</v>
          </cell>
          <cell r="H277" t="str">
            <v>Moderately Soft</v>
          </cell>
        </row>
        <row r="278">
          <cell r="A278" t="str">
            <v>Yell Shetland</v>
          </cell>
          <cell r="B278">
            <v>4.75</v>
          </cell>
          <cell r="C278">
            <v>4.17</v>
          </cell>
          <cell r="D278">
            <v>29</v>
          </cell>
          <cell r="E278">
            <v>2.0299999999999998</v>
          </cell>
          <cell r="F278">
            <v>2.9</v>
          </cell>
          <cell r="G278">
            <v>1.62</v>
          </cell>
          <cell r="H278" t="str">
            <v>Soft</v>
          </cell>
        </row>
        <row r="279">
          <cell r="A279"/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ottishwater.co.uk/your-home/your-water/water-quality/water-quali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B9C9C-658A-48A7-B072-BEF3FC3DCD91}">
  <dimension ref="A1:K247"/>
  <sheetViews>
    <sheetView tabSelected="1" workbookViewId="0">
      <selection activeCell="J4" sqref="J4"/>
    </sheetView>
  </sheetViews>
  <sheetFormatPr defaultRowHeight="15" x14ac:dyDescent="0.25"/>
  <cols>
    <col min="1" max="1" width="16.140625" customWidth="1"/>
    <col min="2" max="6" width="9.140625" style="5"/>
    <col min="7" max="7" width="11.28515625" style="5" customWidth="1"/>
    <col min="8" max="8" width="9.140625" style="5"/>
  </cols>
  <sheetData>
    <row r="1" spans="1:11" s="1" customFormat="1" ht="30.75" thickBot="1" x14ac:dyDescent="0.3">
      <c r="A1" s="1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4" t="s">
        <v>7</v>
      </c>
      <c r="K1" s="3" t="s">
        <v>254</v>
      </c>
    </row>
    <row r="2" spans="1:11" x14ac:dyDescent="0.25">
      <c r="A2" s="2" t="s">
        <v>8</v>
      </c>
      <c r="B2" s="5">
        <v>10.6</v>
      </c>
      <c r="C2" s="5">
        <v>0.5</v>
      </c>
      <c r="D2" s="5">
        <v>11</v>
      </c>
      <c r="E2" s="5">
        <v>7.88</v>
      </c>
      <c r="F2" s="5">
        <f>VLOOKUP($A2,[1]Hardness!$A$2:$H$278,2,TRUE)</f>
        <v>2.7</v>
      </c>
      <c r="G2" s="5">
        <f>VLOOKUP($A2,[1]Hardness!$A$2:$H$278,3,TRUE)</f>
        <v>0.68</v>
      </c>
      <c r="H2" s="5">
        <v>11.6266</v>
      </c>
    </row>
    <row r="3" spans="1:11" x14ac:dyDescent="0.25">
      <c r="A3" s="2" t="s">
        <v>9</v>
      </c>
      <c r="B3" s="5">
        <v>6.4</v>
      </c>
      <c r="C3" s="5">
        <v>0.5</v>
      </c>
      <c r="D3" s="5">
        <v>14.5</v>
      </c>
      <c r="E3" s="5">
        <v>7.45</v>
      </c>
      <c r="F3" s="5">
        <f>VLOOKUP(A3,[1]Hardness!A3:H279,2,TRUE)</f>
        <v>1.73</v>
      </c>
      <c r="G3" s="5">
        <f>VLOOKUP($A3,[1]Hardness!$A$2:$H$278,3,TRUE)</f>
        <v>1.05</v>
      </c>
      <c r="H3" s="5">
        <v>10.528600000000001</v>
      </c>
    </row>
    <row r="4" spans="1:11" x14ac:dyDescent="0.25">
      <c r="A4" s="2" t="s">
        <v>10</v>
      </c>
      <c r="B4" s="5">
        <v>3.5</v>
      </c>
      <c r="C4" s="5">
        <v>0.5</v>
      </c>
      <c r="D4" s="5">
        <v>6.25</v>
      </c>
      <c r="E4" s="5">
        <v>7.63</v>
      </c>
      <c r="F4" s="5">
        <f>VLOOKUP(A4,[1]Hardness!A4:H280,2,TRUE)</f>
        <v>1.5</v>
      </c>
      <c r="G4" s="5">
        <f>VLOOKUP($A4,[1]Hardness!$A$2:$H$278,3,TRUE)</f>
        <v>0.4</v>
      </c>
      <c r="H4" s="5">
        <v>6.5757999999999992</v>
      </c>
    </row>
    <row r="5" spans="1:11" x14ac:dyDescent="0.25">
      <c r="A5" s="2" t="s">
        <v>11</v>
      </c>
      <c r="B5" s="5">
        <v>4.3499999999999996</v>
      </c>
      <c r="C5" s="5">
        <v>29.43</v>
      </c>
      <c r="D5" s="5">
        <v>8.07</v>
      </c>
      <c r="E5" s="5">
        <v>7.63</v>
      </c>
      <c r="F5" s="5">
        <f>VLOOKUP(A5,[1]Hardness!A5:H281,2,TRUE)</f>
        <v>15.81</v>
      </c>
      <c r="G5" s="5">
        <f>VLOOKUP($A5,[1]Hardness!$A$2:$H$278,3,TRUE)</f>
        <v>0.96</v>
      </c>
      <c r="H5" s="5">
        <v>52.9358</v>
      </c>
    </row>
    <row r="6" spans="1:11" x14ac:dyDescent="0.25">
      <c r="A6" s="2" t="s">
        <v>12</v>
      </c>
      <c r="B6" s="5">
        <v>8.5</v>
      </c>
      <c r="C6" s="5">
        <v>11.13</v>
      </c>
      <c r="D6" s="5">
        <v>7.93</v>
      </c>
      <c r="E6" s="5">
        <v>7.82</v>
      </c>
      <c r="F6" s="5">
        <f>VLOOKUP(A6,[1]Hardness!A6:H282,2,TRUE)</f>
        <v>9.76</v>
      </c>
      <c r="G6" s="5">
        <f>VLOOKUP($A6,[1]Hardness!$A$2:$H$278,3,TRUE)</f>
        <v>1.1599999999999999</v>
      </c>
      <c r="H6" s="5">
        <v>35.526400000000002</v>
      </c>
    </row>
    <row r="7" spans="1:11" x14ac:dyDescent="0.25">
      <c r="A7" s="2" t="s">
        <v>13</v>
      </c>
      <c r="B7" s="5">
        <v>5.3</v>
      </c>
      <c r="C7" s="5">
        <v>0.5</v>
      </c>
      <c r="D7" s="5">
        <v>9.5</v>
      </c>
      <c r="E7" s="5">
        <v>7.75</v>
      </c>
      <c r="F7" s="5">
        <f>VLOOKUP(A7,[1]Hardness!A7:H283,2,TRUE)</f>
        <v>1.9</v>
      </c>
      <c r="G7" s="5">
        <f>VLOOKUP($A7,[1]Hardness!$A$2:$H$278,3,TRUE)</f>
        <v>0.4</v>
      </c>
      <c r="H7" s="5">
        <v>7.7957999999999998</v>
      </c>
    </row>
    <row r="8" spans="1:11" x14ac:dyDescent="0.25">
      <c r="A8" s="2" t="s">
        <v>14</v>
      </c>
      <c r="B8" s="5">
        <v>10.3</v>
      </c>
      <c r="C8" s="5">
        <v>0.5</v>
      </c>
      <c r="D8" s="5">
        <v>17.75</v>
      </c>
      <c r="E8" s="5">
        <v>7.4</v>
      </c>
      <c r="F8" s="5">
        <f>VLOOKUP(A8,[1]Hardness!A8:H284,2,TRUE)</f>
        <v>3.1</v>
      </c>
      <c r="G8" s="5">
        <f>VLOOKUP($A8,[1]Hardness!$A$2:$H$278,3,TRUE)</f>
        <v>1</v>
      </c>
      <c r="H8" s="5">
        <v>14.456999999999999</v>
      </c>
    </row>
    <row r="9" spans="1:11" x14ac:dyDescent="0.25">
      <c r="A9" s="2" t="s">
        <v>15</v>
      </c>
      <c r="B9" s="5">
        <v>8.6</v>
      </c>
      <c r="C9" s="5">
        <v>0.5</v>
      </c>
      <c r="D9" s="5">
        <v>14</v>
      </c>
      <c r="E9" s="5">
        <v>7.95</v>
      </c>
      <c r="F9" s="5">
        <f>VLOOKUP(A9,[1]Hardness!A9:H285,2,TRUE)</f>
        <v>3.02</v>
      </c>
      <c r="G9" s="5">
        <f>VLOOKUP($A9,[1]Hardness!$A$2:$H$278,3,TRUE)</f>
        <v>0.92</v>
      </c>
      <c r="H9" s="5">
        <v>13.8104</v>
      </c>
    </row>
    <row r="10" spans="1:11" x14ac:dyDescent="0.25">
      <c r="A10" s="2" t="s">
        <v>16</v>
      </c>
      <c r="B10" s="5">
        <v>2.9</v>
      </c>
      <c r="C10" s="5">
        <v>0.5</v>
      </c>
      <c r="D10" s="5">
        <v>3.5</v>
      </c>
      <c r="E10" s="5">
        <v>7.73</v>
      </c>
      <c r="F10" s="5">
        <f>VLOOKUP(A10,[1]Hardness!A10:H286,2,TRUE)</f>
        <v>3</v>
      </c>
      <c r="G10" s="5">
        <f>VLOOKUP($A10,[1]Hardness!$A$2:$H$278,3,TRUE)</f>
        <v>0.6</v>
      </c>
      <c r="H10" s="5">
        <v>12.138999999999999</v>
      </c>
    </row>
    <row r="11" spans="1:11" x14ac:dyDescent="0.25">
      <c r="A11" s="2" t="s">
        <v>17</v>
      </c>
      <c r="B11" s="5">
        <v>15.5</v>
      </c>
      <c r="C11" s="5">
        <v>1.6</v>
      </c>
      <c r="D11" s="5">
        <v>31</v>
      </c>
      <c r="E11" s="5">
        <v>7.6</v>
      </c>
      <c r="F11" s="5">
        <f>VLOOKUP(A11,[1]Hardness!A11:H287,2,TRUE)</f>
        <v>6.58</v>
      </c>
      <c r="G11" s="5">
        <f>VLOOKUP($A11,[1]Hardness!$A$2:$H$278,3,TRUE)</f>
        <v>1.62</v>
      </c>
      <c r="H11" s="5">
        <v>28.157599999999999</v>
      </c>
    </row>
    <row r="12" spans="1:11" x14ac:dyDescent="0.25">
      <c r="A12" s="2" t="s">
        <v>18</v>
      </c>
      <c r="B12" s="5">
        <v>26.45</v>
      </c>
      <c r="C12" s="5">
        <v>16.25</v>
      </c>
      <c r="D12" s="5">
        <v>23</v>
      </c>
      <c r="E12" s="5">
        <v>7.79</v>
      </c>
      <c r="F12" s="5">
        <f>VLOOKUP(A12,[1]Hardness!A12:H288,2,TRUE)</f>
        <v>2.76</v>
      </c>
      <c r="G12" s="5">
        <f>VLOOKUP($A12,[1]Hardness!$A$2:$H$278,3,TRUE)</f>
        <v>0.86</v>
      </c>
      <c r="H12" s="5">
        <v>12.712399999999999</v>
      </c>
    </row>
    <row r="13" spans="1:11" x14ac:dyDescent="0.25">
      <c r="A13" s="2" t="s">
        <v>19</v>
      </c>
      <c r="B13" s="5">
        <v>7.5</v>
      </c>
      <c r="C13" s="5">
        <v>0.5</v>
      </c>
      <c r="D13" s="5">
        <v>12.5</v>
      </c>
      <c r="E13" s="5">
        <v>7.75</v>
      </c>
      <c r="F13" s="5">
        <f>VLOOKUP(A13,[1]Hardness!A13:H289,2,TRUE)</f>
        <v>4.8</v>
      </c>
      <c r="G13" s="5">
        <f>VLOOKUP($A13,[1]Hardness!$A$2:$H$278,3,TRUE)</f>
        <v>0.6</v>
      </c>
      <c r="H13" s="5">
        <v>17.616799999999998</v>
      </c>
    </row>
    <row r="14" spans="1:11" x14ac:dyDescent="0.25">
      <c r="A14" s="2" t="s">
        <v>20</v>
      </c>
      <c r="B14" s="5">
        <v>18.100000000000001</v>
      </c>
      <c r="C14" s="5">
        <v>0.5</v>
      </c>
      <c r="D14" s="5">
        <v>33.75</v>
      </c>
      <c r="E14" s="5">
        <v>7.9</v>
      </c>
      <c r="F14" s="5">
        <f>VLOOKUP(A14,[1]Hardness!A14:H290,2,TRUE)</f>
        <v>2.9</v>
      </c>
      <c r="G14" s="5">
        <f>VLOOKUP($A14,[1]Hardness!$A$2:$H$278,3,TRUE)</f>
        <v>1.6</v>
      </c>
      <c r="H14" s="5">
        <v>16.848199999999999</v>
      </c>
    </row>
    <row r="15" spans="1:11" x14ac:dyDescent="0.25">
      <c r="A15" s="2" t="s">
        <v>21</v>
      </c>
      <c r="B15" s="5">
        <v>7.9</v>
      </c>
      <c r="C15" s="5">
        <v>1.4</v>
      </c>
      <c r="D15" s="5">
        <v>9.25</v>
      </c>
      <c r="E15" s="5">
        <v>8.5</v>
      </c>
      <c r="F15" s="5">
        <f>VLOOKUP(A15,[1]Hardness!A15:H291,2,TRUE)</f>
        <v>15.6</v>
      </c>
      <c r="G15" s="5">
        <f>VLOOKUP($A15,[1]Hardness!$A$2:$H$278,3,TRUE)</f>
        <v>0.8</v>
      </c>
      <c r="H15" s="5">
        <v>51.496200000000002</v>
      </c>
    </row>
    <row r="16" spans="1:11" x14ac:dyDescent="0.25">
      <c r="A16" s="2" t="s">
        <v>22</v>
      </c>
      <c r="B16" s="5">
        <v>23.55</v>
      </c>
      <c r="C16" s="5">
        <v>4.4000000000000004</v>
      </c>
      <c r="D16" s="5">
        <v>20.14</v>
      </c>
      <c r="E16" s="5">
        <v>8.2899999999999991</v>
      </c>
      <c r="F16" s="5">
        <f>VLOOKUP(A16,[1]Hardness!A16:H292,2,TRUE)</f>
        <v>12.07</v>
      </c>
      <c r="G16" s="5">
        <f>VLOOKUP($A16,[1]Hardness!$A$2:$H$278,3,TRUE)</f>
        <v>2.73</v>
      </c>
      <c r="H16" s="5">
        <v>50.434800000000003</v>
      </c>
    </row>
    <row r="17" spans="1:8" x14ac:dyDescent="0.25">
      <c r="A17" s="2" t="s">
        <v>23</v>
      </c>
      <c r="B17" s="5">
        <v>5.3</v>
      </c>
      <c r="C17" s="5">
        <v>2.25</v>
      </c>
      <c r="D17" s="5">
        <v>11.94</v>
      </c>
      <c r="E17" s="5">
        <v>7.69</v>
      </c>
      <c r="F17" s="5">
        <f>VLOOKUP(A17,[1]Hardness!A17:H293,2,TRUE)</f>
        <v>4.16</v>
      </c>
      <c r="G17" s="5">
        <f>VLOOKUP($A17,[1]Hardness!$A$2:$H$278,3,TRUE)</f>
        <v>0.55000000000000004</v>
      </c>
      <c r="H17" s="5">
        <v>15.4208</v>
      </c>
    </row>
    <row r="18" spans="1:8" x14ac:dyDescent="0.25">
      <c r="A18" s="2" t="s">
        <v>24</v>
      </c>
      <c r="B18" s="5">
        <v>41.15</v>
      </c>
      <c r="C18" s="5">
        <v>59.15</v>
      </c>
      <c r="D18" s="5">
        <v>31</v>
      </c>
      <c r="E18" s="5">
        <v>8.01</v>
      </c>
      <c r="F18" s="5">
        <f>VLOOKUP(A18,[1]Hardness!A18:H294,2,TRUE)</f>
        <v>10.36</v>
      </c>
      <c r="G18" s="5">
        <f>VLOOKUP($A18,[1]Hardness!$A$2:$H$278,3,TRUE)</f>
        <v>3.45</v>
      </c>
      <c r="H18" s="5">
        <v>48.836599999999997</v>
      </c>
    </row>
    <row r="19" spans="1:8" x14ac:dyDescent="0.25">
      <c r="A19" s="2" t="s">
        <v>25</v>
      </c>
      <c r="B19" s="5">
        <v>6.9</v>
      </c>
      <c r="C19" s="5">
        <v>0.5</v>
      </c>
      <c r="D19" s="5">
        <v>12</v>
      </c>
      <c r="E19" s="5">
        <v>7.5</v>
      </c>
      <c r="F19" s="5">
        <f>VLOOKUP(A19,[1]Hardness!A19:H295,2,TRUE)</f>
        <v>1.9</v>
      </c>
      <c r="G19" s="5">
        <f>VLOOKUP($A19,[1]Hardness!$A$2:$H$278,3,TRUE)</f>
        <v>0.68</v>
      </c>
      <c r="H19" s="5">
        <v>9.1988000000000003</v>
      </c>
    </row>
    <row r="20" spans="1:8" x14ac:dyDescent="0.25">
      <c r="A20" s="2" t="s">
        <v>26</v>
      </c>
      <c r="B20" s="5">
        <v>12.13</v>
      </c>
      <c r="C20" s="5">
        <v>5.2</v>
      </c>
      <c r="D20" s="5">
        <v>18.73</v>
      </c>
      <c r="E20" s="5">
        <v>7.95</v>
      </c>
      <c r="F20" s="5">
        <f>VLOOKUP(A20,[1]Hardness!A20:H296,2,TRUE)</f>
        <v>18.18</v>
      </c>
      <c r="G20" s="5">
        <f>VLOOKUP($A20,[1]Hardness!$A$2:$H$278,3,TRUE)</f>
        <v>3.01</v>
      </c>
      <c r="H20" s="5">
        <v>70.442800000000005</v>
      </c>
    </row>
    <row r="21" spans="1:8" x14ac:dyDescent="0.25">
      <c r="A21" s="2" t="s">
        <v>27</v>
      </c>
      <c r="B21" s="5">
        <v>12.4</v>
      </c>
      <c r="C21" s="5">
        <v>2.75</v>
      </c>
      <c r="D21" s="5">
        <v>20</v>
      </c>
      <c r="E21" s="5">
        <v>7.94</v>
      </c>
      <c r="F21" s="5">
        <f>VLOOKUP(A21,[1]Hardness!A21:H297,2,TRUE)</f>
        <v>3.9</v>
      </c>
      <c r="G21" s="5">
        <f>VLOOKUP($A21,[1]Hardness!$A$2:$H$278,3,TRUE)</f>
        <v>1.08</v>
      </c>
      <c r="H21" s="5">
        <v>17.287399999999998</v>
      </c>
    </row>
    <row r="22" spans="1:8" x14ac:dyDescent="0.25">
      <c r="A22" s="2" t="s">
        <v>28</v>
      </c>
      <c r="B22" s="5">
        <v>6.1</v>
      </c>
      <c r="C22" s="5">
        <v>0.5</v>
      </c>
      <c r="D22" s="5">
        <v>10</v>
      </c>
      <c r="E22" s="5">
        <v>7.43</v>
      </c>
      <c r="F22" s="5">
        <f>VLOOKUP(A22,[1]Hardness!A22:H298,2,TRUE)</f>
        <v>2.23</v>
      </c>
      <c r="G22" s="5">
        <f>VLOOKUP($A22,[1]Hardness!$A$2:$H$278,3,TRUE)</f>
        <v>0.48</v>
      </c>
      <c r="H22" s="5">
        <v>9.1988000000000003</v>
      </c>
    </row>
    <row r="23" spans="1:8" x14ac:dyDescent="0.25">
      <c r="A23" s="2" t="s">
        <v>29</v>
      </c>
      <c r="B23" s="5">
        <v>4.3</v>
      </c>
      <c r="C23" s="5">
        <v>0.5</v>
      </c>
      <c r="D23" s="5">
        <v>6.75</v>
      </c>
      <c r="E23" s="5">
        <v>7.6</v>
      </c>
      <c r="F23" s="5">
        <f>VLOOKUP(A23,[1]Hardness!A23:H299,2,TRUE)</f>
        <v>1.2</v>
      </c>
      <c r="G23" s="5">
        <f>VLOOKUP($A23,[1]Hardness!$A$2:$H$278,3,TRUE)</f>
        <v>0.45</v>
      </c>
      <c r="H23" s="5">
        <v>5.9047999999999998</v>
      </c>
    </row>
    <row r="24" spans="1:8" x14ac:dyDescent="0.25">
      <c r="A24" s="2" t="s">
        <v>30</v>
      </c>
      <c r="B24" s="5">
        <v>19.8</v>
      </c>
      <c r="C24" s="5">
        <v>18.28</v>
      </c>
      <c r="D24" s="5">
        <v>20.100000000000001</v>
      </c>
      <c r="E24" s="5">
        <v>8.1999999999999993</v>
      </c>
      <c r="F24" s="5">
        <f>VLOOKUP(A24,[1]Hardness!A24:H300,2,TRUE)</f>
        <v>28.84</v>
      </c>
      <c r="G24" s="5">
        <f>VLOOKUP($A24,[1]Hardness!$A$2:$H$278,3,TRUE)</f>
        <v>2.19</v>
      </c>
      <c r="H24" s="5">
        <v>98.771199999999993</v>
      </c>
    </row>
    <row r="25" spans="1:8" x14ac:dyDescent="0.25">
      <c r="A25" s="2" t="s">
        <v>31</v>
      </c>
      <c r="B25" s="5">
        <v>18.8</v>
      </c>
      <c r="C25" s="5">
        <v>3.7</v>
      </c>
      <c r="D25" s="5">
        <v>15.75</v>
      </c>
      <c r="E25" s="5">
        <v>8.0299999999999994</v>
      </c>
      <c r="F25" s="5">
        <f>VLOOKUP(A25,[1]Hardness!A25:H301,2,TRUE)</f>
        <v>7.62</v>
      </c>
      <c r="G25" s="5">
        <f>VLOOKUP($A25,[1]Hardness!$A$2:$H$278,3,TRUE)</f>
        <v>1.92</v>
      </c>
      <c r="H25" s="5">
        <v>32.830199999999998</v>
      </c>
    </row>
    <row r="26" spans="1:8" x14ac:dyDescent="0.25">
      <c r="A26" s="2" t="s">
        <v>32</v>
      </c>
      <c r="B26" s="5">
        <v>8.8000000000000007</v>
      </c>
      <c r="C26" s="5">
        <v>0.5</v>
      </c>
      <c r="D26" s="5">
        <v>22.75</v>
      </c>
      <c r="E26" s="5">
        <v>8.1300000000000008</v>
      </c>
      <c r="F26" s="5">
        <f>VLOOKUP(A26,[1]Hardness!A26:H302,2,TRUE)</f>
        <v>15.1</v>
      </c>
      <c r="G26" s="5">
        <f>VLOOKUP($A26,[1]Hardness!$A$2:$H$278,3,TRUE)</f>
        <v>4.4000000000000004</v>
      </c>
      <c r="H26" s="5">
        <v>68.039400000000001</v>
      </c>
    </row>
    <row r="27" spans="1:8" x14ac:dyDescent="0.25">
      <c r="A27" s="2" t="s">
        <v>33</v>
      </c>
      <c r="B27" s="5">
        <v>12.9</v>
      </c>
      <c r="C27" s="5">
        <v>13.9</v>
      </c>
      <c r="D27" s="5">
        <v>20.83</v>
      </c>
      <c r="E27" s="5">
        <v>8.18</v>
      </c>
      <c r="F27" s="5">
        <f>VLOOKUP(A27,[1]Hardness!A27:H303,2,TRUE)</f>
        <v>31.7</v>
      </c>
      <c r="G27" s="5">
        <f>VLOOKUP($A27,[1]Hardness!$A$2:$H$278,3,TRUE)</f>
        <v>21.75</v>
      </c>
      <c r="H27" s="5">
        <v>205.60659999999999</v>
      </c>
    </row>
    <row r="28" spans="1:8" x14ac:dyDescent="0.25">
      <c r="A28" s="2" t="s">
        <v>34</v>
      </c>
      <c r="B28" s="5">
        <v>4.37</v>
      </c>
      <c r="C28" s="5">
        <v>10.23</v>
      </c>
      <c r="D28" s="5">
        <v>6.16</v>
      </c>
      <c r="E28" s="5">
        <v>7.56</v>
      </c>
      <c r="F28" s="5">
        <f>VLOOKUP(A28,[1]Hardness!A28:H304,2,TRUE)</f>
        <v>6.8</v>
      </c>
      <c r="G28" s="5">
        <f>VLOOKUP($A28,[1]Hardness!$A$2:$H$278,3,TRUE)</f>
        <v>0.72</v>
      </c>
      <c r="H28" s="5">
        <v>24.314599999999999</v>
      </c>
    </row>
    <row r="29" spans="1:8" x14ac:dyDescent="0.25">
      <c r="A29" s="2" t="s">
        <v>35</v>
      </c>
      <c r="B29" s="5">
        <v>4</v>
      </c>
      <c r="C29" s="5">
        <v>9.8800000000000008</v>
      </c>
      <c r="D29" s="5">
        <v>6.07</v>
      </c>
      <c r="E29" s="5">
        <v>7.62</v>
      </c>
      <c r="F29" s="5">
        <f>VLOOKUP(A29,[1]Hardness!A29:H305,2,TRUE)</f>
        <v>6.5</v>
      </c>
      <c r="G29" s="5">
        <f>VLOOKUP($A29,[1]Hardness!$A$2:$H$278,3,TRUE)</f>
        <v>0.66</v>
      </c>
      <c r="H29" s="5">
        <v>23.0946</v>
      </c>
    </row>
    <row r="30" spans="1:8" x14ac:dyDescent="0.25">
      <c r="A30" s="2" t="s">
        <v>36</v>
      </c>
      <c r="B30" s="5">
        <v>4.0999999999999996</v>
      </c>
      <c r="C30" s="5">
        <v>9.9700000000000006</v>
      </c>
      <c r="D30" s="5">
        <v>6.04</v>
      </c>
      <c r="E30" s="5">
        <v>7.62</v>
      </c>
      <c r="F30" s="5">
        <f>VLOOKUP(A30,[1]Hardness!A30:H306,2,TRUE)</f>
        <v>6.59</v>
      </c>
      <c r="G30" s="5">
        <f>VLOOKUP($A30,[1]Hardness!$A$2:$H$278,3,TRUE)</f>
        <v>0.68</v>
      </c>
      <c r="H30" s="5">
        <v>23.472799999999996</v>
      </c>
    </row>
    <row r="31" spans="1:8" x14ac:dyDescent="0.25">
      <c r="A31" s="2" t="s">
        <v>37</v>
      </c>
      <c r="B31" s="5">
        <v>5.15</v>
      </c>
      <c r="C31" s="5">
        <v>14.03</v>
      </c>
      <c r="D31" s="5">
        <v>7.23</v>
      </c>
      <c r="E31" s="5">
        <v>7.79</v>
      </c>
      <c r="F31" s="5">
        <f>VLOOKUP(A31,[1]Hardness!A31:H307,2,TRUE)</f>
        <v>8.5299999999999994</v>
      </c>
      <c r="G31" s="5">
        <f>VLOOKUP($A31,[1]Hardness!$A$2:$H$278,3,TRUE)</f>
        <v>0.81</v>
      </c>
      <c r="H31" s="5">
        <v>30.024199999999997</v>
      </c>
    </row>
    <row r="32" spans="1:8" x14ac:dyDescent="0.25">
      <c r="A32" s="2" t="s">
        <v>38</v>
      </c>
      <c r="B32" s="5">
        <v>4.37</v>
      </c>
      <c r="C32" s="5">
        <v>10.6</v>
      </c>
      <c r="D32" s="5">
        <v>6.45</v>
      </c>
      <c r="E32" s="5">
        <v>7.56</v>
      </c>
      <c r="F32" s="5">
        <f>VLOOKUP(A32,[1]Hardness!A32:H308,2,TRUE)</f>
        <v>6.6</v>
      </c>
      <c r="G32" s="5">
        <f>VLOOKUP($A32,[1]Hardness!$A$2:$H$278,3,TRUE)</f>
        <v>0.66</v>
      </c>
      <c r="H32" s="5">
        <v>23.3996</v>
      </c>
    </row>
    <row r="33" spans="1:8" x14ac:dyDescent="0.25">
      <c r="A33" s="2" t="s">
        <v>39</v>
      </c>
      <c r="B33" s="5">
        <v>4.2</v>
      </c>
      <c r="C33" s="5">
        <v>10.55</v>
      </c>
      <c r="D33" s="5">
        <v>5.8</v>
      </c>
      <c r="E33" s="5">
        <v>7.56</v>
      </c>
      <c r="F33" s="5">
        <f>VLOOKUP(A33,[1]Hardness!A33:H309,2,TRUE)</f>
        <v>6.88</v>
      </c>
      <c r="G33" s="5">
        <f>VLOOKUP($A33,[1]Hardness!$A$2:$H$278,3,TRUE)</f>
        <v>0.74</v>
      </c>
      <c r="H33" s="5">
        <v>24.656200000000002</v>
      </c>
    </row>
    <row r="34" spans="1:8" x14ac:dyDescent="0.25">
      <c r="A34" s="2" t="s">
        <v>40</v>
      </c>
      <c r="B34" s="5">
        <v>4.5999999999999996</v>
      </c>
      <c r="C34" s="5">
        <v>10.27</v>
      </c>
      <c r="D34" s="5">
        <v>6.18</v>
      </c>
      <c r="E34" s="5">
        <v>7.95</v>
      </c>
      <c r="F34" s="5">
        <f>VLOOKUP(A34,[1]Hardness!A34:H310,2,TRUE)</f>
        <v>6.92</v>
      </c>
      <c r="G34" s="5">
        <f>VLOOKUP($A34,[1]Hardness!$A$2:$H$278,3,TRUE)</f>
        <v>0.7</v>
      </c>
      <c r="H34" s="5">
        <v>24.570799999999998</v>
      </c>
    </row>
    <row r="35" spans="1:8" x14ac:dyDescent="0.25">
      <c r="A35" s="2" t="s">
        <v>41</v>
      </c>
      <c r="B35" s="5">
        <v>17.399999999999999</v>
      </c>
      <c r="C35" s="5">
        <v>9.8000000000000007</v>
      </c>
      <c r="D35" s="5">
        <v>7.5</v>
      </c>
      <c r="E35" s="5">
        <v>7.88</v>
      </c>
      <c r="F35" s="5">
        <f>VLOOKUP(A35,[1]Hardness!A35:H311,2,TRUE)</f>
        <v>6.8</v>
      </c>
      <c r="G35" s="5">
        <f>VLOOKUP($A35,[1]Hardness!$A$2:$H$278,3,TRUE)</f>
        <v>0.72</v>
      </c>
      <c r="H35" s="5">
        <v>24.314599999999999</v>
      </c>
    </row>
    <row r="36" spans="1:8" x14ac:dyDescent="0.25">
      <c r="A36" s="2" t="s">
        <v>42</v>
      </c>
      <c r="B36" s="5">
        <v>4.1500000000000004</v>
      </c>
      <c r="C36" s="5">
        <v>10.83</v>
      </c>
      <c r="D36" s="5">
        <v>6.33</v>
      </c>
      <c r="E36" s="5">
        <v>7.47</v>
      </c>
      <c r="F36" s="5">
        <f>VLOOKUP(A36,[1]Hardness!A36:H312,2,TRUE)</f>
        <v>7.1</v>
      </c>
      <c r="G36" s="5">
        <f>VLOOKUP($A36,[1]Hardness!$A$2:$H$278,3,TRUE)</f>
        <v>0.74</v>
      </c>
      <c r="H36" s="5">
        <v>25.327200000000001</v>
      </c>
    </row>
    <row r="37" spans="1:8" x14ac:dyDescent="0.25">
      <c r="A37" s="2" t="s">
        <v>43</v>
      </c>
      <c r="B37" s="5">
        <v>4.9000000000000004</v>
      </c>
      <c r="C37" s="5">
        <v>14.05</v>
      </c>
      <c r="D37" s="5">
        <v>6.06</v>
      </c>
      <c r="E37" s="5">
        <v>7.57</v>
      </c>
      <c r="F37" s="5">
        <f>VLOOKUP(A37,[1]Hardness!A37:H313,2,TRUE)</f>
        <v>6.89</v>
      </c>
      <c r="G37" s="5">
        <f>VLOOKUP($A37,[1]Hardness!$A$2:$H$278,3,TRUE)</f>
        <v>0.71</v>
      </c>
      <c r="H37" s="5">
        <v>24.534199999999998</v>
      </c>
    </row>
    <row r="38" spans="1:8" x14ac:dyDescent="0.25">
      <c r="A38" s="2" t="s">
        <v>44</v>
      </c>
      <c r="B38" s="5">
        <v>2.7</v>
      </c>
      <c r="C38" s="5">
        <v>0.5</v>
      </c>
      <c r="D38" s="5">
        <v>4.75</v>
      </c>
      <c r="E38" s="5">
        <v>7.75</v>
      </c>
      <c r="F38" s="5">
        <f>VLOOKUP(A38,[1]Hardness!A38:H314,2,TRUE)</f>
        <v>5.58</v>
      </c>
      <c r="G38" s="5">
        <f>VLOOKUP($A38,[1]Hardness!$A$2:$H$278,3,TRUE)</f>
        <v>0.6</v>
      </c>
      <c r="H38" s="5">
        <v>19.995799999999999</v>
      </c>
    </row>
    <row r="39" spans="1:8" x14ac:dyDescent="0.25">
      <c r="A39" s="2" t="s">
        <v>45</v>
      </c>
      <c r="B39" s="5">
        <v>37</v>
      </c>
      <c r="C39" s="5">
        <v>4.5</v>
      </c>
      <c r="D39" s="5">
        <v>51.75</v>
      </c>
      <c r="E39" s="5">
        <v>7.98</v>
      </c>
      <c r="F39" s="5">
        <f>VLOOKUP(A39,[1]Hardness!A39:H315,2,TRUE)</f>
        <v>3.48</v>
      </c>
      <c r="G39" s="5">
        <f>VLOOKUP($A39,[1]Hardness!$A$2:$H$278,3,TRUE)</f>
        <v>2.95</v>
      </c>
      <c r="H39" s="5">
        <v>25.388199999999998</v>
      </c>
    </row>
    <row r="40" spans="1:8" x14ac:dyDescent="0.25">
      <c r="A40" s="2" t="s">
        <v>46</v>
      </c>
      <c r="B40" s="5">
        <v>3.6</v>
      </c>
      <c r="C40" s="5">
        <v>11.47</v>
      </c>
      <c r="D40" s="5">
        <v>6.91</v>
      </c>
      <c r="E40" s="5">
        <v>7.67</v>
      </c>
      <c r="F40" s="5">
        <f>VLOOKUP(A40,[1]Hardness!A40:H316,2,TRUE)</f>
        <v>7.64</v>
      </c>
      <c r="G40" s="5">
        <f>VLOOKUP($A40,[1]Hardness!$A$2:$H$278,3,TRUE)</f>
        <v>0.54</v>
      </c>
      <c r="H40" s="5">
        <v>25.961600000000001</v>
      </c>
    </row>
    <row r="41" spans="1:8" x14ac:dyDescent="0.25">
      <c r="A41" s="2" t="s">
        <v>47</v>
      </c>
      <c r="B41" s="5">
        <v>36.5</v>
      </c>
      <c r="C41" s="5">
        <v>5.2</v>
      </c>
      <c r="D41" s="5">
        <v>50.5</v>
      </c>
      <c r="E41" s="5">
        <v>8.0500000000000007</v>
      </c>
      <c r="F41" s="5">
        <f>VLOOKUP(A41,[1]Hardness!A41:H317,2,TRUE)</f>
        <v>3.48</v>
      </c>
      <c r="G41" s="5">
        <f>VLOOKUP($A41,[1]Hardness!$A$2:$H$278,3,TRUE)</f>
        <v>2.77</v>
      </c>
      <c r="H41" s="5">
        <v>24.485399999999998</v>
      </c>
    </row>
    <row r="42" spans="1:8" x14ac:dyDescent="0.25">
      <c r="A42" s="2" t="s">
        <v>48</v>
      </c>
      <c r="B42" s="5">
        <v>6.57</v>
      </c>
      <c r="C42" s="5">
        <v>29.9</v>
      </c>
      <c r="D42" s="5">
        <v>9.56</v>
      </c>
      <c r="E42" s="5">
        <v>7.89</v>
      </c>
      <c r="F42" s="5">
        <f>VLOOKUP(A42,[1]Hardness!A42:H318,2,TRUE)</f>
        <v>22.15</v>
      </c>
      <c r="G42" s="5">
        <f>VLOOKUP($A42,[1]Hardness!$A$2:$H$278,3,TRUE)</f>
        <v>3.26</v>
      </c>
      <c r="H42" s="5">
        <v>83.7774</v>
      </c>
    </row>
    <row r="43" spans="1:8" x14ac:dyDescent="0.25">
      <c r="A43" s="2" t="s">
        <v>49</v>
      </c>
      <c r="B43" s="5">
        <v>9.5</v>
      </c>
      <c r="C43" s="5">
        <v>29.1</v>
      </c>
      <c r="D43" s="5">
        <v>9.75</v>
      </c>
      <c r="E43" s="5">
        <v>7.85</v>
      </c>
      <c r="F43" s="5">
        <f>VLOOKUP(A43,[1]Hardness!A43:H319,2,TRUE)</f>
        <v>10.55</v>
      </c>
      <c r="G43" s="5">
        <f>VLOOKUP($A43,[1]Hardness!$A$2:$H$278,3,TRUE)</f>
        <v>3.1</v>
      </c>
      <c r="H43" s="5">
        <v>47.665399999999998</v>
      </c>
    </row>
    <row r="44" spans="1:8" x14ac:dyDescent="0.25">
      <c r="A44" s="2" t="s">
        <v>50</v>
      </c>
      <c r="B44" s="5">
        <v>4.2300000000000004</v>
      </c>
      <c r="C44" s="5">
        <v>10.07</v>
      </c>
      <c r="D44" s="5">
        <v>8.0299999999999994</v>
      </c>
      <c r="E44" s="5">
        <v>7.97</v>
      </c>
      <c r="F44" s="5">
        <f>VLOOKUP(A44,[1]Hardness!A44:H320,2,TRUE)</f>
        <v>8.8000000000000007</v>
      </c>
      <c r="G44" s="5">
        <f>VLOOKUP($A44,[1]Hardness!$A$2:$H$278,3,TRUE)</f>
        <v>1.08</v>
      </c>
      <c r="H44" s="5">
        <v>32.207999999999998</v>
      </c>
    </row>
    <row r="45" spans="1:8" x14ac:dyDescent="0.25">
      <c r="A45" s="2" t="s">
        <v>51</v>
      </c>
      <c r="B45" s="5">
        <v>4.28</v>
      </c>
      <c r="C45" s="5">
        <v>9.6999999999999993</v>
      </c>
      <c r="D45" s="5">
        <v>8.09</v>
      </c>
      <c r="E45" s="5">
        <v>7.98</v>
      </c>
      <c r="F45" s="5">
        <f>VLOOKUP(A45,[1]Hardness!A45:H321,2,TRUE)</f>
        <v>8.44</v>
      </c>
      <c r="G45" s="5">
        <f>VLOOKUP($A45,[1]Hardness!$A$2:$H$278,3,TRUE)</f>
        <v>1.08</v>
      </c>
      <c r="H45" s="5">
        <v>31.11</v>
      </c>
    </row>
    <row r="46" spans="1:8" x14ac:dyDescent="0.25">
      <c r="A46" s="2" t="s">
        <v>52</v>
      </c>
      <c r="B46" s="5">
        <v>6.4</v>
      </c>
      <c r="C46" s="5">
        <v>1.7</v>
      </c>
      <c r="D46" s="5">
        <v>5.5</v>
      </c>
      <c r="E46" s="5">
        <v>7.3</v>
      </c>
      <c r="F46" s="5">
        <f>VLOOKUP(A46,[1]Hardness!A46:H322,2,TRUE)</f>
        <v>35.520000000000003</v>
      </c>
      <c r="G46" s="5">
        <f>VLOOKUP($A46,[1]Hardness!$A$2:$H$278,3,TRUE)</f>
        <v>1.55</v>
      </c>
      <c r="H46" s="5">
        <v>115.89999999999999</v>
      </c>
    </row>
    <row r="47" spans="1:8" x14ac:dyDescent="0.25">
      <c r="A47" s="2" t="s">
        <v>53</v>
      </c>
      <c r="B47" s="5">
        <v>51.5</v>
      </c>
      <c r="C47" s="5">
        <v>64.05</v>
      </c>
      <c r="D47" s="5">
        <v>51.19</v>
      </c>
      <c r="E47" s="5">
        <v>8.24</v>
      </c>
      <c r="F47" s="5">
        <f>VLOOKUP(A47,[1]Hardness!A47:H323,2,TRUE)</f>
        <v>30.84</v>
      </c>
      <c r="G47" s="5">
        <f>VLOOKUP($A47,[1]Hardness!$A$2:$H$278,3,TRUE)</f>
        <v>9.34</v>
      </c>
      <c r="H47" s="5">
        <v>140.727</v>
      </c>
    </row>
    <row r="48" spans="1:8" x14ac:dyDescent="0.25">
      <c r="A48" s="2" t="s">
        <v>54</v>
      </c>
      <c r="B48" s="5">
        <v>6.2</v>
      </c>
      <c r="C48" s="5">
        <v>0.5</v>
      </c>
      <c r="D48" s="5">
        <v>11.5</v>
      </c>
      <c r="E48" s="5">
        <v>7.5</v>
      </c>
      <c r="F48" s="5">
        <f>VLOOKUP(A48,[1]Hardness!A48:H324,2,TRUE)</f>
        <v>3.02</v>
      </c>
      <c r="G48" s="5">
        <f>VLOOKUP($A48,[1]Hardness!$A$2:$H$278,3,TRUE)</f>
        <v>0.55000000000000004</v>
      </c>
      <c r="H48" s="5">
        <v>11.956000000000001</v>
      </c>
    </row>
    <row r="49" spans="1:8" x14ac:dyDescent="0.25">
      <c r="A49" s="2" t="s">
        <v>55</v>
      </c>
      <c r="B49" s="5">
        <v>7.7</v>
      </c>
      <c r="C49" s="5">
        <v>1.85</v>
      </c>
      <c r="D49" s="5">
        <v>9.1999999999999993</v>
      </c>
      <c r="E49" s="5">
        <v>7.81</v>
      </c>
      <c r="F49" s="5">
        <f>VLOOKUP(A49,[1]Hardness!A49:H325,2,TRUE)</f>
        <v>2.77</v>
      </c>
      <c r="G49" s="5">
        <f>VLOOKUP($A49,[1]Hardness!$A$2:$H$278,3,TRUE)</f>
        <v>0.96</v>
      </c>
      <c r="H49" s="5">
        <v>13.249199999999998</v>
      </c>
    </row>
    <row r="50" spans="1:8" x14ac:dyDescent="0.25">
      <c r="A50" s="2" t="s">
        <v>56</v>
      </c>
      <c r="B50" s="5">
        <v>10.6</v>
      </c>
      <c r="C50" s="5">
        <v>0.5</v>
      </c>
      <c r="D50" s="5">
        <v>18.5</v>
      </c>
      <c r="E50" s="5">
        <v>7.85</v>
      </c>
      <c r="F50" s="5">
        <f>VLOOKUP(A50,[1]Hardness!A50:H326,2,TRUE)</f>
        <v>2.6</v>
      </c>
      <c r="G50" s="5">
        <f>VLOOKUP($A50,[1]Hardness!$A$2:$H$278,3,TRUE)</f>
        <v>1.57</v>
      </c>
      <c r="H50" s="5">
        <v>15.786799999999999</v>
      </c>
    </row>
    <row r="51" spans="1:8" x14ac:dyDescent="0.25">
      <c r="A51" s="2" t="s">
        <v>57</v>
      </c>
      <c r="B51" s="5">
        <v>6.05</v>
      </c>
      <c r="C51" s="5">
        <v>20.8</v>
      </c>
      <c r="D51" s="5">
        <v>9.49</v>
      </c>
      <c r="E51" s="5">
        <v>7.43</v>
      </c>
      <c r="F51" s="5">
        <f>VLOOKUP(A51,[1]Hardness!A51:H327,2,TRUE)</f>
        <v>9.43</v>
      </c>
      <c r="G51" s="5">
        <f>VLOOKUP($A51,[1]Hardness!$A$2:$H$278,3,TRUE)</f>
        <v>0.7</v>
      </c>
      <c r="H51" s="5">
        <v>32.220199999999998</v>
      </c>
    </row>
    <row r="52" spans="1:8" x14ac:dyDescent="0.25">
      <c r="A52" s="2" t="s">
        <v>58</v>
      </c>
      <c r="B52" s="5">
        <v>5.93</v>
      </c>
      <c r="C52" s="5">
        <v>20.63</v>
      </c>
      <c r="D52" s="5">
        <v>9.51</v>
      </c>
      <c r="E52" s="5">
        <v>7.47</v>
      </c>
      <c r="F52" s="5">
        <f>VLOOKUP(A52,[1]Hardness!A52:H328,2,TRUE)</f>
        <v>9.4</v>
      </c>
      <c r="G52" s="5">
        <f>VLOOKUP($A52,[1]Hardness!$A$2:$H$278,3,TRUE)</f>
        <v>0.7</v>
      </c>
      <c r="H52" s="5">
        <v>32.122599999999998</v>
      </c>
    </row>
    <row r="53" spans="1:8" x14ac:dyDescent="0.25">
      <c r="A53" s="2" t="s">
        <v>59</v>
      </c>
      <c r="B53" s="5">
        <v>40.4</v>
      </c>
      <c r="C53" s="5">
        <v>8.6</v>
      </c>
      <c r="D53" s="5">
        <v>5.5</v>
      </c>
      <c r="E53" s="5">
        <v>8.48</v>
      </c>
      <c r="F53" s="5">
        <f>VLOOKUP(A53,[1]Hardness!A53:H329,2,TRUE)</f>
        <v>4.45</v>
      </c>
      <c r="G53" s="5">
        <f>VLOOKUP($A53,[1]Hardness!$A$2:$H$278,3,TRUE)</f>
        <v>1.32</v>
      </c>
      <c r="H53" s="5">
        <v>20.166600000000003</v>
      </c>
    </row>
    <row r="54" spans="1:8" x14ac:dyDescent="0.25">
      <c r="A54" s="2" t="s">
        <v>60</v>
      </c>
      <c r="B54" s="5">
        <v>2.7</v>
      </c>
      <c r="C54" s="5">
        <v>0.5</v>
      </c>
      <c r="D54" s="5">
        <v>4.75</v>
      </c>
      <c r="E54" s="5">
        <v>7.43</v>
      </c>
      <c r="F54" s="5">
        <f>VLOOKUP(A54,[1]Hardness!A54:H330,2,TRUE)</f>
        <v>1.88</v>
      </c>
      <c r="G54" s="5">
        <f>VLOOKUP($A54,[1]Hardness!$A$2:$H$278,3,TRUE)</f>
        <v>0.48</v>
      </c>
      <c r="H54" s="5">
        <v>8.1251999999999995</v>
      </c>
    </row>
    <row r="55" spans="1:8" x14ac:dyDescent="0.25">
      <c r="A55" s="2" t="s">
        <v>61</v>
      </c>
      <c r="B55" s="5">
        <v>6.9</v>
      </c>
      <c r="C55" s="5">
        <v>0.6</v>
      </c>
      <c r="D55" s="5">
        <v>15</v>
      </c>
      <c r="E55" s="5">
        <v>8.23</v>
      </c>
      <c r="F55" s="5">
        <f>VLOOKUP(A55,[1]Hardness!A55:H331,2,TRUE)</f>
        <v>11.93</v>
      </c>
      <c r="G55" s="5">
        <f>VLOOKUP($A55,[1]Hardness!$A$2:$H$278,3,TRUE)</f>
        <v>2.23</v>
      </c>
      <c r="H55" s="5">
        <v>47.506799999999998</v>
      </c>
    </row>
    <row r="56" spans="1:8" x14ac:dyDescent="0.25">
      <c r="A56" s="2" t="s">
        <v>62</v>
      </c>
      <c r="B56" s="5">
        <v>7.2</v>
      </c>
      <c r="C56" s="5">
        <v>0.9</v>
      </c>
      <c r="D56" s="5">
        <v>13.25</v>
      </c>
      <c r="E56" s="5">
        <v>8.6</v>
      </c>
      <c r="F56" s="5">
        <f>VLOOKUP(A56,[1]Hardness!A56:H332,2,TRUE)</f>
        <v>10.82</v>
      </c>
      <c r="G56" s="5">
        <f>VLOOKUP($A56,[1]Hardness!$A$2:$H$278,3,TRUE)</f>
        <v>2.23</v>
      </c>
      <c r="H56" s="5">
        <v>44.127400000000002</v>
      </c>
    </row>
    <row r="57" spans="1:8" x14ac:dyDescent="0.25">
      <c r="A57" s="2" t="s">
        <v>63</v>
      </c>
      <c r="B57" s="5">
        <v>26.6</v>
      </c>
      <c r="C57" s="5">
        <v>3.9</v>
      </c>
      <c r="D57" s="5">
        <v>27.25</v>
      </c>
      <c r="E57" s="5">
        <v>8.08</v>
      </c>
      <c r="F57" s="5">
        <f>VLOOKUP(A57,[1]Hardness!A57:H333,2,TRUE)</f>
        <v>2.9</v>
      </c>
      <c r="G57" s="5">
        <f>VLOOKUP($A57,[1]Hardness!$A$2:$H$278,3,TRUE)</f>
        <v>1.9</v>
      </c>
      <c r="H57" s="5">
        <v>18.361000000000001</v>
      </c>
    </row>
    <row r="58" spans="1:8" x14ac:dyDescent="0.25">
      <c r="A58" s="2" t="s">
        <v>64</v>
      </c>
      <c r="B58" s="5">
        <v>4.45</v>
      </c>
      <c r="C58" s="5">
        <v>16.13</v>
      </c>
      <c r="D58" s="5">
        <v>7.31</v>
      </c>
      <c r="E58" s="5">
        <v>7.71</v>
      </c>
      <c r="F58" s="5">
        <f>VLOOKUP(A58,[1]Hardness!A58:H334,2,TRUE)</f>
        <v>16.75</v>
      </c>
      <c r="G58" s="5">
        <f>VLOOKUP($A58,[1]Hardness!$A$2:$H$278,3,TRUE)</f>
        <v>0.96</v>
      </c>
      <c r="H58" s="5">
        <v>55.802799999999998</v>
      </c>
    </row>
    <row r="59" spans="1:8" x14ac:dyDescent="0.25">
      <c r="A59" s="2" t="s">
        <v>65</v>
      </c>
      <c r="B59" s="5">
        <v>41.55</v>
      </c>
      <c r="C59" s="5">
        <v>35.549999999999997</v>
      </c>
      <c r="D59" s="5">
        <v>22.2</v>
      </c>
      <c r="E59" s="5">
        <v>8.11</v>
      </c>
      <c r="F59" s="5">
        <f>VLOOKUP(A59,[1]Hardness!A59:H335,2,TRUE)</f>
        <v>15.99</v>
      </c>
      <c r="G59" s="5">
        <f>VLOOKUP($A59,[1]Hardness!$A$2:$H$278,3,TRUE)</f>
        <v>3.79</v>
      </c>
      <c r="H59" s="5">
        <v>67.685599999999994</v>
      </c>
    </row>
    <row r="60" spans="1:8" x14ac:dyDescent="0.25">
      <c r="A60" s="2" t="s">
        <v>66</v>
      </c>
      <c r="B60" s="5">
        <v>9.1199999999999992</v>
      </c>
      <c r="C60" s="5">
        <v>23.24</v>
      </c>
      <c r="D60" s="5">
        <v>14.34</v>
      </c>
      <c r="E60" s="5">
        <v>7.77</v>
      </c>
      <c r="F60" s="5">
        <f>VLOOKUP(A60,[1]Hardness!A60:H336,2,TRUE)</f>
        <v>14.76</v>
      </c>
      <c r="G60" s="5">
        <f>VLOOKUP($A60,[1]Hardness!$A$2:$H$278,3,TRUE)</f>
        <v>1.07</v>
      </c>
      <c r="H60" s="5">
        <v>50.300599999999996</v>
      </c>
    </row>
    <row r="61" spans="1:8" x14ac:dyDescent="0.25">
      <c r="A61" s="2" t="s">
        <v>67</v>
      </c>
      <c r="B61" s="5">
        <v>4.53</v>
      </c>
      <c r="C61" s="5">
        <v>16.2</v>
      </c>
      <c r="D61" s="5">
        <v>7.06</v>
      </c>
      <c r="E61" s="5">
        <v>7.95</v>
      </c>
      <c r="F61" s="5">
        <f>VLOOKUP(A61,[1]Hardness!A61:H337,2,TRUE)</f>
        <v>12.29</v>
      </c>
      <c r="G61" s="5">
        <f>VLOOKUP($A61,[1]Hardness!$A$2:$H$278,3,TRUE)</f>
        <v>2.34</v>
      </c>
      <c r="H61" s="5">
        <v>49.153799999999997</v>
      </c>
    </row>
    <row r="62" spans="1:8" x14ac:dyDescent="0.25">
      <c r="A62" s="2" t="s">
        <v>68</v>
      </c>
      <c r="B62" s="5">
        <v>7.3</v>
      </c>
      <c r="C62" s="5">
        <v>0.5</v>
      </c>
      <c r="D62" s="5">
        <v>15.75</v>
      </c>
      <c r="E62" s="5">
        <v>7.75</v>
      </c>
      <c r="F62" s="5">
        <f>VLOOKUP(A62,[1]Hardness!A62:H338,2,TRUE)</f>
        <v>3.55</v>
      </c>
      <c r="G62" s="5">
        <f>VLOOKUP($A62,[1]Hardness!$A$2:$H$278,3,TRUE)</f>
        <v>1.3</v>
      </c>
      <c r="H62" s="5">
        <v>17.323999999999998</v>
      </c>
    </row>
    <row r="63" spans="1:8" x14ac:dyDescent="0.25">
      <c r="A63" s="2" t="s">
        <v>69</v>
      </c>
      <c r="B63" s="5">
        <v>15.55</v>
      </c>
      <c r="C63" s="5">
        <v>15.95</v>
      </c>
      <c r="D63" s="5">
        <v>28.1</v>
      </c>
      <c r="E63" s="5">
        <v>7.85</v>
      </c>
      <c r="F63" s="5">
        <f>VLOOKUP(A63,[1]Hardness!A63:H339,2,TRUE)</f>
        <v>45.67</v>
      </c>
      <c r="G63" s="5">
        <f>VLOOKUP($A63,[1]Hardness!$A$2:$H$278,3,TRUE)</f>
        <v>22.15</v>
      </c>
      <c r="H63" s="5">
        <v>250.13659999999999</v>
      </c>
    </row>
    <row r="64" spans="1:8" x14ac:dyDescent="0.25">
      <c r="A64" s="2" t="s">
        <v>70</v>
      </c>
      <c r="B64" s="5">
        <v>79.7</v>
      </c>
      <c r="C64" s="5">
        <v>7.2</v>
      </c>
      <c r="D64" s="5">
        <v>28</v>
      </c>
      <c r="E64" s="5">
        <v>7.98</v>
      </c>
      <c r="F64" s="5">
        <f>VLOOKUP(A64,[1]Hardness!A64:H340,2,TRUE)</f>
        <v>12.4</v>
      </c>
      <c r="G64" s="5">
        <f>VLOOKUP($A64,[1]Hardness!$A$2:$H$278,3,TRUE)</f>
        <v>2.23</v>
      </c>
      <c r="H64" s="5">
        <v>48.934199999999997</v>
      </c>
    </row>
    <row r="65" spans="1:8" x14ac:dyDescent="0.25">
      <c r="A65" s="2" t="s">
        <v>71</v>
      </c>
      <c r="B65" s="5">
        <v>2.7</v>
      </c>
      <c r="C65" s="5">
        <v>0.5</v>
      </c>
      <c r="D65" s="5">
        <v>3.75</v>
      </c>
      <c r="E65" s="5">
        <v>7.68</v>
      </c>
      <c r="F65" s="5">
        <f>VLOOKUP(A65,[1]Hardness!A65:H341,2,TRUE)</f>
        <v>1.3</v>
      </c>
      <c r="G65" s="5">
        <f>VLOOKUP($A65,[1]Hardness!$A$2:$H$278,3,TRUE)</f>
        <v>0.4</v>
      </c>
      <c r="H65" s="5">
        <v>5.9657999999999998</v>
      </c>
    </row>
    <row r="66" spans="1:8" x14ac:dyDescent="0.25">
      <c r="A66" s="2" t="s">
        <v>72</v>
      </c>
      <c r="B66" s="5">
        <v>11.7</v>
      </c>
      <c r="C66" s="5">
        <v>23.58</v>
      </c>
      <c r="D66" s="5">
        <v>9.0299999999999994</v>
      </c>
      <c r="E66" s="5">
        <v>7.79</v>
      </c>
      <c r="F66" s="5">
        <f>VLOOKUP(A66,[1]Hardness!A66:H342,2,TRUE)</f>
        <v>13</v>
      </c>
      <c r="G66" s="5">
        <f>VLOOKUP($A66,[1]Hardness!$A$2:$H$278,3,TRUE)</f>
        <v>1.1000000000000001</v>
      </c>
      <c r="H66" s="5">
        <v>45.091200000000001</v>
      </c>
    </row>
    <row r="67" spans="1:8" x14ac:dyDescent="0.25">
      <c r="A67" s="2" t="s">
        <v>73</v>
      </c>
      <c r="B67" s="5">
        <v>8.98</v>
      </c>
      <c r="C67" s="5">
        <v>17.68</v>
      </c>
      <c r="D67" s="5">
        <v>8.9</v>
      </c>
      <c r="E67" s="5">
        <v>7.8</v>
      </c>
      <c r="F67" s="5">
        <f>VLOOKUP(A67,[1]Hardness!A67:H343,2,TRUE)</f>
        <v>13.18</v>
      </c>
      <c r="G67" s="5">
        <f>VLOOKUP($A67,[1]Hardness!$A$2:$H$278,3,TRUE)</f>
        <v>1.1399999999999999</v>
      </c>
      <c r="H67" s="5">
        <v>45.8354</v>
      </c>
    </row>
    <row r="68" spans="1:8" x14ac:dyDescent="0.25">
      <c r="A68" s="2" t="s">
        <v>74</v>
      </c>
      <c r="B68" s="5">
        <v>4.9000000000000004</v>
      </c>
      <c r="C68" s="5">
        <v>0.7</v>
      </c>
      <c r="D68" s="5">
        <v>5.75</v>
      </c>
      <c r="E68" s="5">
        <v>7.7</v>
      </c>
      <c r="F68" s="5">
        <f>VLOOKUP(A68,[1]Hardness!A68:H344,2,TRUE)</f>
        <v>1.5</v>
      </c>
      <c r="G68" s="5">
        <f>VLOOKUP($A68,[1]Hardness!$A$2:$H$278,3,TRUE)</f>
        <v>1.2</v>
      </c>
      <c r="H68" s="5">
        <v>10.589599999999999</v>
      </c>
    </row>
    <row r="69" spans="1:8" x14ac:dyDescent="0.25">
      <c r="A69" s="2" t="s">
        <v>75</v>
      </c>
      <c r="B69" s="5">
        <v>3.9</v>
      </c>
      <c r="C69" s="5">
        <v>0.5</v>
      </c>
      <c r="D69" s="5">
        <v>9.25</v>
      </c>
      <c r="E69" s="5">
        <v>7.6</v>
      </c>
      <c r="F69" s="5">
        <f>VLOOKUP(A69,[1]Hardness!A69:H345,2,TRUE)</f>
        <v>6.7</v>
      </c>
      <c r="G69" s="5">
        <f>VLOOKUP($A69,[1]Hardness!$A$2:$H$278,3,TRUE)</f>
        <v>0.9</v>
      </c>
      <c r="H69" s="5">
        <v>24.912400000000002</v>
      </c>
    </row>
    <row r="70" spans="1:8" x14ac:dyDescent="0.25">
      <c r="A70" s="2" t="s">
        <v>76</v>
      </c>
      <c r="B70" s="5">
        <v>5.78</v>
      </c>
      <c r="C70" s="5">
        <v>13.35</v>
      </c>
      <c r="D70" s="5">
        <v>6.91</v>
      </c>
      <c r="E70" s="5">
        <v>7.75</v>
      </c>
      <c r="F70" s="5">
        <f>VLOOKUP(A70,[1]Hardness!A70:H346,2,TRUE)</f>
        <v>9.49</v>
      </c>
      <c r="G70" s="5">
        <f>VLOOKUP($A70,[1]Hardness!$A$2:$H$278,3,TRUE)</f>
        <v>1.71</v>
      </c>
      <c r="H70" s="5">
        <v>37.466200000000001</v>
      </c>
    </row>
    <row r="71" spans="1:8" x14ac:dyDescent="0.25">
      <c r="A71" s="2" t="s">
        <v>77</v>
      </c>
      <c r="B71" s="5">
        <v>19.7</v>
      </c>
      <c r="C71" s="5">
        <v>0.9</v>
      </c>
      <c r="D71" s="5">
        <v>31.5</v>
      </c>
      <c r="E71" s="5">
        <v>8.0500000000000007</v>
      </c>
      <c r="F71" s="5">
        <f>VLOOKUP(A71,[1]Hardness!A71:H347,2,TRUE)</f>
        <v>5.3</v>
      </c>
      <c r="G71" s="5">
        <f>VLOOKUP($A71,[1]Hardness!$A$2:$H$278,3,TRUE)</f>
        <v>1.4</v>
      </c>
      <c r="H71" s="5">
        <v>23.1556</v>
      </c>
    </row>
    <row r="72" spans="1:8" x14ac:dyDescent="0.25">
      <c r="A72" s="2" t="s">
        <v>78</v>
      </c>
      <c r="B72" s="5">
        <v>23.7</v>
      </c>
      <c r="C72" s="5">
        <v>0.9</v>
      </c>
      <c r="D72" s="5">
        <v>46</v>
      </c>
      <c r="E72" s="5">
        <v>7.28</v>
      </c>
      <c r="F72" s="5">
        <f>VLOOKUP(A72,[1]Hardness!A72:H348,2,TRUE)</f>
        <v>3.9</v>
      </c>
      <c r="G72" s="5">
        <f>VLOOKUP($A72,[1]Hardness!$A$2:$H$278,3,TRUE)</f>
        <v>2.0499999999999998</v>
      </c>
      <c r="H72" s="5">
        <v>22.155200000000001</v>
      </c>
    </row>
    <row r="73" spans="1:8" x14ac:dyDescent="0.25">
      <c r="A73" s="2" t="s">
        <v>79</v>
      </c>
      <c r="B73" s="5">
        <v>4</v>
      </c>
      <c r="C73" s="5">
        <v>0.5</v>
      </c>
      <c r="D73" s="5">
        <v>6.25</v>
      </c>
      <c r="E73" s="5">
        <v>7.98</v>
      </c>
      <c r="F73" s="5">
        <f>VLOOKUP(A73,[1]Hardness!A73:H349,2,TRUE)</f>
        <v>2.02</v>
      </c>
      <c r="G73" s="5">
        <f>VLOOKUP($A73,[1]Hardness!$A$2:$H$278,3,TRUE)</f>
        <v>0.4</v>
      </c>
      <c r="H73" s="5">
        <v>8.1495999999999995</v>
      </c>
    </row>
    <row r="74" spans="1:8" x14ac:dyDescent="0.25">
      <c r="A74" s="2" t="s">
        <v>80</v>
      </c>
      <c r="B74" s="5">
        <v>5.8</v>
      </c>
      <c r="C74" s="5">
        <v>14.17</v>
      </c>
      <c r="D74" s="5">
        <v>7.35</v>
      </c>
      <c r="E74" s="5">
        <v>7.72</v>
      </c>
      <c r="F74" s="5">
        <f>VLOOKUP(A74,[1]Hardness!A74:H350,2,TRUE)</f>
        <v>8.57</v>
      </c>
      <c r="G74" s="5">
        <f>VLOOKUP($A74,[1]Hardness!$A$2:$H$278,3,TRUE)</f>
        <v>2.15</v>
      </c>
      <c r="H74" s="5">
        <v>36.868400000000001</v>
      </c>
    </row>
    <row r="75" spans="1:8" x14ac:dyDescent="0.25">
      <c r="A75" s="2" t="s">
        <v>81</v>
      </c>
      <c r="B75" s="5">
        <v>21.4</v>
      </c>
      <c r="C75" s="5">
        <v>33.700000000000003</v>
      </c>
      <c r="D75" s="5">
        <v>13.14</v>
      </c>
      <c r="E75" s="5">
        <v>8.24</v>
      </c>
      <c r="F75" s="5">
        <f>VLOOKUP(A75,[1]Hardness!A75:H351,2,TRUE)</f>
        <v>12.47</v>
      </c>
      <c r="G75" s="5">
        <f>VLOOKUP($A75,[1]Hardness!$A$2:$H$278,3,TRUE)</f>
        <v>3.67</v>
      </c>
      <c r="H75" s="5">
        <v>56.364000000000004</v>
      </c>
    </row>
    <row r="76" spans="1:8" x14ac:dyDescent="0.25">
      <c r="A76" s="2" t="s">
        <v>82</v>
      </c>
      <c r="B76" s="5">
        <v>5.8</v>
      </c>
      <c r="C76" s="5">
        <v>0.5</v>
      </c>
      <c r="D76" s="5">
        <v>16.75</v>
      </c>
      <c r="E76" s="5">
        <v>7.67</v>
      </c>
      <c r="F76" s="5">
        <f>VLOOKUP(A76,[1]Hardness!A76:H352,2,TRUE)</f>
        <v>2.48</v>
      </c>
      <c r="G76" s="5">
        <f>VLOOKUP($A76,[1]Hardness!$A$2:$H$278,3,TRUE)</f>
        <v>0.65</v>
      </c>
      <c r="H76" s="5">
        <v>10.809199999999999</v>
      </c>
    </row>
    <row r="77" spans="1:8" x14ac:dyDescent="0.25">
      <c r="A77" s="2" t="s">
        <v>83</v>
      </c>
      <c r="B77" s="5">
        <v>9.8000000000000007</v>
      </c>
      <c r="C77" s="5">
        <v>5.75</v>
      </c>
      <c r="D77" s="5">
        <v>17.79</v>
      </c>
      <c r="E77" s="5">
        <v>7.66</v>
      </c>
      <c r="F77" s="5">
        <f>VLOOKUP(A77,[1]Hardness!A77:H353,2,TRUE)</f>
        <v>8.66</v>
      </c>
      <c r="G77" s="5">
        <f>VLOOKUP($A77,[1]Hardness!$A$2:$H$278,3,TRUE)</f>
        <v>1.45</v>
      </c>
      <c r="H77" s="5">
        <v>33.635399999999997</v>
      </c>
    </row>
    <row r="78" spans="1:8" x14ac:dyDescent="0.25">
      <c r="A78" s="2" t="s">
        <v>84</v>
      </c>
      <c r="B78" s="5">
        <v>4.5</v>
      </c>
      <c r="C78" s="5">
        <v>3.4</v>
      </c>
      <c r="D78" s="5">
        <v>6</v>
      </c>
      <c r="E78" s="5">
        <v>7.45</v>
      </c>
      <c r="F78" s="5">
        <f>VLOOKUP(A78,[1]Hardness!A78:H354,2,TRUE)</f>
        <v>4.9000000000000004</v>
      </c>
      <c r="G78" s="5">
        <f>VLOOKUP($A78,[1]Hardness!$A$2:$H$278,3,TRUE)</f>
        <v>1.1000000000000001</v>
      </c>
      <c r="H78" s="5">
        <v>20.434999999999999</v>
      </c>
    </row>
    <row r="79" spans="1:8" x14ac:dyDescent="0.25">
      <c r="A79" s="2" t="s">
        <v>85</v>
      </c>
      <c r="B79" s="5">
        <v>2.9</v>
      </c>
      <c r="C79" s="5">
        <v>0.5</v>
      </c>
      <c r="D79" s="5">
        <v>4</v>
      </c>
      <c r="E79" s="5">
        <v>8.0299999999999994</v>
      </c>
      <c r="F79" s="5">
        <f>VLOOKUP(A79,[1]Hardness!A79:H355,2,TRUE)</f>
        <v>1.43</v>
      </c>
      <c r="G79" s="5">
        <f>VLOOKUP($A79,[1]Hardness!$A$2:$H$278,3,TRUE)</f>
        <v>0.4</v>
      </c>
      <c r="H79" s="5">
        <v>6.3561999999999994</v>
      </c>
    </row>
    <row r="80" spans="1:8" x14ac:dyDescent="0.25">
      <c r="A80" s="2" t="s">
        <v>86</v>
      </c>
      <c r="B80" s="5">
        <v>3.85</v>
      </c>
      <c r="C80" s="5">
        <v>16.98</v>
      </c>
      <c r="D80" s="5">
        <v>6.76</v>
      </c>
      <c r="E80" s="5">
        <v>7.83</v>
      </c>
      <c r="F80" s="5">
        <f>VLOOKUP(A80,[1]Hardness!A80:H356,2,TRUE)</f>
        <v>11.45</v>
      </c>
      <c r="G80" s="5">
        <f>VLOOKUP($A80,[1]Hardness!$A$2:$H$278,3,TRUE)</f>
        <v>1.1100000000000001</v>
      </c>
      <c r="H80" s="5">
        <v>40.418600000000005</v>
      </c>
    </row>
    <row r="81" spans="1:8" x14ac:dyDescent="0.25">
      <c r="A81" s="2" t="s">
        <v>87</v>
      </c>
      <c r="B81" s="5">
        <v>3.78</v>
      </c>
      <c r="C81" s="5">
        <v>17.079999999999998</v>
      </c>
      <c r="D81" s="5">
        <v>6.73</v>
      </c>
      <c r="E81" s="5">
        <v>7.85</v>
      </c>
      <c r="F81" s="5">
        <f>VLOOKUP(A81,[1]Hardness!A81:H357,2,TRUE)</f>
        <v>11.39</v>
      </c>
      <c r="G81" s="5">
        <f>VLOOKUP($A81,[1]Hardness!$A$2:$H$278,3,TRUE)</f>
        <v>1</v>
      </c>
      <c r="H81" s="5">
        <v>39.686599999999999</v>
      </c>
    </row>
    <row r="82" spans="1:8" x14ac:dyDescent="0.25">
      <c r="A82" s="2" t="s">
        <v>88</v>
      </c>
      <c r="B82" s="5">
        <v>3.43</v>
      </c>
      <c r="C82" s="5">
        <v>17.2</v>
      </c>
      <c r="D82" s="5">
        <v>6.54</v>
      </c>
      <c r="E82" s="5">
        <v>7.88</v>
      </c>
      <c r="F82" s="5">
        <f>VLOOKUP(A82,[1]Hardness!A82:H358,2,TRUE)</f>
        <v>11.24</v>
      </c>
      <c r="G82" s="5">
        <f>VLOOKUP($A82,[1]Hardness!$A$2:$H$278,3,TRUE)</f>
        <v>0.95</v>
      </c>
      <c r="H82" s="5">
        <v>38.978999999999999</v>
      </c>
    </row>
    <row r="83" spans="1:8" x14ac:dyDescent="0.25">
      <c r="A83" s="2" t="s">
        <v>89</v>
      </c>
      <c r="B83" s="5">
        <v>4.68</v>
      </c>
      <c r="C83" s="5">
        <v>14.83</v>
      </c>
      <c r="D83" s="5">
        <v>6.91</v>
      </c>
      <c r="E83" s="5">
        <v>7.86</v>
      </c>
      <c r="F83" s="5">
        <f>VLOOKUP(A83,[1]Hardness!A83:H359,2,TRUE)</f>
        <v>11.5</v>
      </c>
      <c r="G83" s="5">
        <f>VLOOKUP($A83,[1]Hardness!$A$2:$H$278,3,TRUE)</f>
        <v>1.47</v>
      </c>
      <c r="H83" s="5">
        <v>42.382800000000003</v>
      </c>
    </row>
    <row r="84" spans="1:8" x14ac:dyDescent="0.25">
      <c r="A84" s="2" t="s">
        <v>90</v>
      </c>
      <c r="B84" s="5">
        <v>3.83</v>
      </c>
      <c r="C84" s="5">
        <v>16.93</v>
      </c>
      <c r="D84" s="5">
        <v>6.88</v>
      </c>
      <c r="E84" s="5">
        <v>7.79</v>
      </c>
      <c r="F84" s="5">
        <f>VLOOKUP(A84,[1]Hardness!A84:H360,2,TRUE)</f>
        <v>11.4</v>
      </c>
      <c r="G84" s="5">
        <f>VLOOKUP($A84,[1]Hardness!$A$2:$H$278,3,TRUE)</f>
        <v>1.18</v>
      </c>
      <c r="H84" s="5">
        <v>40.625999999999998</v>
      </c>
    </row>
    <row r="85" spans="1:8" x14ac:dyDescent="0.25">
      <c r="A85" s="2" t="s">
        <v>91</v>
      </c>
      <c r="B85" s="5">
        <v>3.6</v>
      </c>
      <c r="C85" s="5">
        <v>0.5</v>
      </c>
      <c r="D85" s="5">
        <v>6</v>
      </c>
      <c r="E85" s="5">
        <v>7.63</v>
      </c>
      <c r="F85" s="5">
        <f>VLOOKUP(A85,[1]Hardness!A85:H361,2,TRUE)</f>
        <v>1.35</v>
      </c>
      <c r="G85" s="5">
        <f>VLOOKUP($A85,[1]Hardness!$A$2:$H$278,3,TRUE)</f>
        <v>1.1499999999999999</v>
      </c>
      <c r="H85" s="5">
        <v>9.8819999999999997</v>
      </c>
    </row>
    <row r="86" spans="1:8" x14ac:dyDescent="0.25">
      <c r="A86" s="2" t="s">
        <v>92</v>
      </c>
      <c r="B86" s="5">
        <v>7.3</v>
      </c>
      <c r="C86" s="5">
        <v>0.6</v>
      </c>
      <c r="D86" s="5">
        <v>12.75</v>
      </c>
      <c r="E86" s="5">
        <v>7.95</v>
      </c>
      <c r="F86" s="5">
        <f>VLOOKUP(A86,[1]Hardness!A86:H362,2,TRUE)</f>
        <v>20.9</v>
      </c>
      <c r="G86" s="5">
        <f>VLOOKUP($A86,[1]Hardness!$A$2:$H$278,3,TRUE)</f>
        <v>0.8</v>
      </c>
      <c r="H86" s="5">
        <v>67.636799999999994</v>
      </c>
    </row>
    <row r="87" spans="1:8" x14ac:dyDescent="0.25">
      <c r="A87" s="2" t="s">
        <v>93</v>
      </c>
      <c r="B87" s="5">
        <v>15</v>
      </c>
      <c r="C87" s="5">
        <v>0.5</v>
      </c>
      <c r="D87" s="5">
        <v>17.5</v>
      </c>
      <c r="E87" s="5">
        <v>8.1</v>
      </c>
      <c r="F87" s="5">
        <f>VLOOKUP(A87,[1]Hardness!A87:H363,2,TRUE)</f>
        <v>2.25</v>
      </c>
      <c r="G87" s="5">
        <f>VLOOKUP($A87,[1]Hardness!$A$2:$H$278,3,TRUE)</f>
        <v>1.75</v>
      </c>
      <c r="H87" s="5">
        <v>15.6282</v>
      </c>
    </row>
    <row r="88" spans="1:8" x14ac:dyDescent="0.25">
      <c r="A88" s="2" t="s">
        <v>94</v>
      </c>
      <c r="B88" s="5">
        <v>31.05</v>
      </c>
      <c r="C88" s="5">
        <v>8</v>
      </c>
      <c r="D88" s="5">
        <v>33.14</v>
      </c>
      <c r="E88" s="5">
        <v>8.16</v>
      </c>
      <c r="F88" s="5">
        <f>VLOOKUP(A88,[1]Hardness!A88:H364,2,TRUE)</f>
        <v>4</v>
      </c>
      <c r="G88" s="5">
        <f>VLOOKUP($A88,[1]Hardness!$A$2:$H$278,3,TRUE)</f>
        <v>1.7</v>
      </c>
      <c r="H88" s="5">
        <v>20.703399999999998</v>
      </c>
    </row>
    <row r="89" spans="1:8" x14ac:dyDescent="0.25">
      <c r="A89" s="2" t="s">
        <v>95</v>
      </c>
      <c r="B89" s="5">
        <v>8.6</v>
      </c>
      <c r="C89" s="5">
        <v>0.5</v>
      </c>
      <c r="D89" s="5">
        <v>13</v>
      </c>
      <c r="E89" s="5">
        <v>7.68</v>
      </c>
      <c r="F89" s="5">
        <f>VLOOKUP(A89,[1]Hardness!A89:H365,2,TRUE)</f>
        <v>3.2</v>
      </c>
      <c r="G89" s="5">
        <f>VLOOKUP($A89,[1]Hardness!$A$2:$H$278,3,TRUE)</f>
        <v>0.8</v>
      </c>
      <c r="H89" s="5">
        <v>13.7494</v>
      </c>
    </row>
    <row r="90" spans="1:8" x14ac:dyDescent="0.25">
      <c r="A90" s="2" t="s">
        <v>96</v>
      </c>
      <c r="B90" s="5">
        <v>9.4</v>
      </c>
      <c r="C90" s="5">
        <v>35.299999999999997</v>
      </c>
      <c r="D90" s="5">
        <v>13.14</v>
      </c>
      <c r="E90" s="5">
        <v>7.23</v>
      </c>
      <c r="F90" s="5">
        <f>VLOOKUP(A90,[1]Hardness!A90:H366,2,TRUE)</f>
        <v>17.18</v>
      </c>
      <c r="G90" s="5">
        <f>VLOOKUP($A90,[1]Hardness!$A$2:$H$278,3,TRUE)</f>
        <v>1.25</v>
      </c>
      <c r="H90" s="5">
        <v>58.56</v>
      </c>
    </row>
    <row r="91" spans="1:8" x14ac:dyDescent="0.25">
      <c r="A91" s="2" t="s">
        <v>97</v>
      </c>
      <c r="B91" s="5">
        <v>9.1</v>
      </c>
      <c r="C91" s="5">
        <v>0.5</v>
      </c>
      <c r="D91" s="5">
        <v>20</v>
      </c>
      <c r="E91" s="5">
        <v>8</v>
      </c>
      <c r="F91" s="5">
        <f>VLOOKUP(A91,[1]Hardness!A91:H367,2,TRUE)</f>
        <v>4.3</v>
      </c>
      <c r="G91" s="5">
        <f>VLOOKUP($A91,[1]Hardness!$A$2:$H$278,3,TRUE)</f>
        <v>2.5</v>
      </c>
      <c r="H91" s="5">
        <v>25.632200000000001</v>
      </c>
    </row>
    <row r="92" spans="1:8" x14ac:dyDescent="0.25">
      <c r="A92" s="2" t="s">
        <v>98</v>
      </c>
      <c r="B92" s="5">
        <v>12.7</v>
      </c>
      <c r="C92" s="5">
        <v>1.7</v>
      </c>
      <c r="D92" s="5">
        <v>23.5</v>
      </c>
      <c r="E92" s="5">
        <v>7.65</v>
      </c>
      <c r="F92" s="5">
        <f>VLOOKUP(A92,[1]Hardness!A92:H368,2,TRUE)</f>
        <v>3.2</v>
      </c>
      <c r="G92" s="5">
        <f>VLOOKUP($A92,[1]Hardness!$A$2:$H$278,3,TRUE)</f>
        <v>1.9</v>
      </c>
      <c r="H92" s="5">
        <v>19.276</v>
      </c>
    </row>
    <row r="93" spans="1:8" x14ac:dyDescent="0.25">
      <c r="A93" s="2" t="s">
        <v>99</v>
      </c>
      <c r="B93" s="5">
        <v>17.399999999999999</v>
      </c>
      <c r="C93" s="5">
        <v>4.7</v>
      </c>
      <c r="D93" s="5">
        <v>29.25</v>
      </c>
      <c r="E93" s="5">
        <v>8.08</v>
      </c>
      <c r="F93" s="5">
        <f>VLOOKUP(A93,[1]Hardness!A93:H369,2,TRUE)</f>
        <v>35.5</v>
      </c>
      <c r="G93" s="5">
        <f>VLOOKUP($A93,[1]Hardness!$A$2:$H$278,3,TRUE)</f>
        <v>12.05</v>
      </c>
      <c r="H93" s="5">
        <v>168.50640000000001</v>
      </c>
    </row>
    <row r="94" spans="1:8" x14ac:dyDescent="0.25">
      <c r="A94" s="2" t="s">
        <v>100</v>
      </c>
      <c r="B94" s="5">
        <v>8.1999999999999993</v>
      </c>
      <c r="C94" s="5">
        <v>0.5</v>
      </c>
      <c r="D94" s="5">
        <v>11.25</v>
      </c>
      <c r="E94" s="5">
        <v>8.0500000000000007</v>
      </c>
      <c r="F94" s="5">
        <f>VLOOKUP(A94,[1]Hardness!A94:H370,2,TRUE)</f>
        <v>5.17</v>
      </c>
      <c r="G94" s="5">
        <f>VLOOKUP($A94,[1]Hardness!$A$2:$H$278,3,TRUE)</f>
        <v>3.35</v>
      </c>
      <c r="H94" s="5">
        <v>32.537399999999998</v>
      </c>
    </row>
    <row r="95" spans="1:8" x14ac:dyDescent="0.25">
      <c r="A95" s="2" t="s">
        <v>101</v>
      </c>
      <c r="B95" s="5">
        <v>46.3</v>
      </c>
      <c r="C95" s="5">
        <v>12.4</v>
      </c>
      <c r="D95" s="5">
        <v>76.75</v>
      </c>
      <c r="E95" s="5">
        <v>7.25</v>
      </c>
      <c r="F95" s="5">
        <f>VLOOKUP(A95,[1]Hardness!A95:H371,2,TRUE)</f>
        <v>54.83</v>
      </c>
      <c r="G95" s="5">
        <f>VLOOKUP($A95,[1]Hardness!$A$2:$H$278,3,TRUE)</f>
        <v>14.38</v>
      </c>
      <c r="H95" s="5">
        <v>239.03460000000001</v>
      </c>
    </row>
    <row r="96" spans="1:8" x14ac:dyDescent="0.25">
      <c r="A96" s="2" t="s">
        <v>102</v>
      </c>
      <c r="B96" s="5">
        <v>22.75</v>
      </c>
      <c r="C96" s="5">
        <v>18.899999999999999</v>
      </c>
      <c r="D96" s="5">
        <v>36.15</v>
      </c>
      <c r="E96" s="5">
        <v>8.06</v>
      </c>
      <c r="F96" s="5">
        <f>VLOOKUP(A96,[1]Hardness!A96:H372,2,TRUE)</f>
        <v>7.41</v>
      </c>
      <c r="G96" s="5">
        <f>VLOOKUP($A96,[1]Hardness!$A$2:$H$278,3,TRUE)</f>
        <v>2.54</v>
      </c>
      <c r="H96" s="5">
        <v>35.294599999999996</v>
      </c>
    </row>
    <row r="97" spans="1:8" x14ac:dyDescent="0.25">
      <c r="A97" s="2" t="s">
        <v>103</v>
      </c>
      <c r="B97" s="5">
        <v>124.6</v>
      </c>
      <c r="C97" s="5">
        <v>34.299999999999997</v>
      </c>
      <c r="D97" s="5">
        <v>185</v>
      </c>
      <c r="E97" s="5">
        <v>7.35</v>
      </c>
      <c r="F97" s="5">
        <f>VLOOKUP(A97,[1]Hardness!A97:H373,2,TRUE)</f>
        <v>57.3</v>
      </c>
      <c r="G97" s="5">
        <f>VLOOKUP($A97,[1]Hardness!$A$2:$H$278,3,TRUE)</f>
        <v>13.5</v>
      </c>
      <c r="H97" s="5">
        <v>242.14559999999997</v>
      </c>
    </row>
    <row r="98" spans="1:8" x14ac:dyDescent="0.25">
      <c r="A98" s="2" t="s">
        <v>104</v>
      </c>
      <c r="B98" s="5">
        <v>29.8</v>
      </c>
      <c r="C98" s="5">
        <v>2.2999999999999998</v>
      </c>
      <c r="D98" s="5">
        <v>50</v>
      </c>
      <c r="E98" s="5">
        <v>8.08</v>
      </c>
      <c r="F98" s="5">
        <f>VLOOKUP(A98,[1]Hardness!A98:H374,2,TRUE)</f>
        <v>5.4</v>
      </c>
      <c r="G98" s="5">
        <f>VLOOKUP($A98,[1]Hardness!$A$2:$H$278,3,TRUE)</f>
        <v>11.4</v>
      </c>
      <c r="H98" s="5">
        <v>73.626999999999995</v>
      </c>
    </row>
    <row r="99" spans="1:8" x14ac:dyDescent="0.25">
      <c r="A99" s="2" t="s">
        <v>105</v>
      </c>
      <c r="B99" s="5">
        <v>9.35</v>
      </c>
      <c r="C99" s="5">
        <v>11.45</v>
      </c>
      <c r="D99" s="5">
        <v>7.14</v>
      </c>
      <c r="E99" s="5">
        <v>7.46</v>
      </c>
      <c r="F99" s="5">
        <f>VLOOKUP(A99,[1]Hardness!A99:H375,2,TRUE)</f>
        <v>3.38</v>
      </c>
      <c r="G99" s="5">
        <f>VLOOKUP($A99,[1]Hardness!$A$2:$H$278,3,TRUE)</f>
        <v>0.95</v>
      </c>
      <c r="H99" s="5">
        <v>15.0548</v>
      </c>
    </row>
    <row r="100" spans="1:8" x14ac:dyDescent="0.25">
      <c r="A100" s="2" t="s">
        <v>106</v>
      </c>
      <c r="B100" s="5">
        <v>26.3</v>
      </c>
      <c r="C100" s="5">
        <v>57.03</v>
      </c>
      <c r="D100" s="5">
        <v>40.450000000000003</v>
      </c>
      <c r="E100" s="5">
        <v>7.92</v>
      </c>
      <c r="F100" s="5">
        <f>VLOOKUP(A100,[1]Hardness!A100:H376,2,TRUE)</f>
        <v>29.5</v>
      </c>
      <c r="G100" s="5">
        <f>VLOOKUP($A100,[1]Hardness!$A$2:$H$278,3,TRUE)</f>
        <v>5.95</v>
      </c>
      <c r="H100" s="5">
        <v>119.6454</v>
      </c>
    </row>
    <row r="101" spans="1:8" x14ac:dyDescent="0.25">
      <c r="A101" s="2" t="s">
        <v>107</v>
      </c>
      <c r="B101" s="5">
        <v>6.07</v>
      </c>
      <c r="C101" s="5">
        <v>3.23</v>
      </c>
      <c r="D101" s="5">
        <v>8.41</v>
      </c>
      <c r="E101" s="5">
        <v>7.98</v>
      </c>
      <c r="F101" s="5">
        <f>VLOOKUP(A101,[1]Hardness!A101:H377,2,TRUE)</f>
        <v>24.35</v>
      </c>
      <c r="G101" s="5">
        <f>VLOOKUP($A101,[1]Hardness!$A$2:$H$278,3,TRUE)</f>
        <v>2.0499999999999998</v>
      </c>
      <c r="H101" s="5">
        <v>84.399600000000007</v>
      </c>
    </row>
    <row r="102" spans="1:8" x14ac:dyDescent="0.25">
      <c r="A102" s="2" t="s">
        <v>108</v>
      </c>
      <c r="B102" s="5">
        <v>43.1</v>
      </c>
      <c r="C102" s="5">
        <v>6.5</v>
      </c>
      <c r="D102" s="5">
        <v>78</v>
      </c>
      <c r="E102" s="5">
        <v>7.83</v>
      </c>
      <c r="F102" s="5">
        <f>VLOOKUP(A102,[1]Hardness!A102:H378,2,TRUE)</f>
        <v>25.5</v>
      </c>
      <c r="G102" s="5">
        <f>VLOOKUP($A102,[1]Hardness!$A$2:$H$278,3,TRUE)</f>
        <v>6.7</v>
      </c>
      <c r="H102" s="5">
        <v>111.2274</v>
      </c>
    </row>
    <row r="103" spans="1:8" x14ac:dyDescent="0.25">
      <c r="A103" s="2" t="s">
        <v>109</v>
      </c>
      <c r="B103" s="5">
        <v>26.9</v>
      </c>
      <c r="C103" s="5">
        <v>11.9</v>
      </c>
      <c r="D103" s="5">
        <v>29.75</v>
      </c>
      <c r="E103" s="5">
        <v>7.65</v>
      </c>
      <c r="F103" s="5">
        <f>VLOOKUP(A103,[1]Hardness!A103:H379,2,TRUE)</f>
        <v>1.4</v>
      </c>
      <c r="G103" s="5">
        <f>VLOOKUP($A103,[1]Hardness!$A$2:$H$278,3,TRUE)</f>
        <v>1.68</v>
      </c>
      <c r="H103" s="5">
        <v>12.688000000000001</v>
      </c>
    </row>
    <row r="104" spans="1:8" x14ac:dyDescent="0.25">
      <c r="A104" s="2" t="s">
        <v>110</v>
      </c>
      <c r="B104" s="5">
        <v>29.9</v>
      </c>
      <c r="C104" s="5">
        <v>1.5</v>
      </c>
      <c r="D104" s="5">
        <v>61.25</v>
      </c>
      <c r="E104" s="5">
        <v>7.65</v>
      </c>
      <c r="F104" s="5">
        <f>VLOOKUP(A104,[1]Hardness!A104:H380,2,TRUE)</f>
        <v>10.9</v>
      </c>
      <c r="G104" s="5">
        <f>VLOOKUP($A104,[1]Hardness!$A$2:$H$278,3,TRUE)</f>
        <v>3.72</v>
      </c>
      <c r="H104" s="5">
        <v>51.837800000000001</v>
      </c>
    </row>
    <row r="105" spans="1:8" x14ac:dyDescent="0.25">
      <c r="A105" s="2" t="s">
        <v>111</v>
      </c>
      <c r="B105" s="5">
        <v>14.1</v>
      </c>
      <c r="C105" s="5">
        <v>1.95</v>
      </c>
      <c r="D105" s="5">
        <v>12.7</v>
      </c>
      <c r="E105" s="5">
        <v>8.3699999999999992</v>
      </c>
      <c r="F105" s="5">
        <f>VLOOKUP(A105,[1]Hardness!A105:H381,2,TRUE)</f>
        <v>2.36</v>
      </c>
      <c r="G105" s="5">
        <f>VLOOKUP($A105,[1]Hardness!$A$2:$H$278,3,TRUE)</f>
        <v>0.7</v>
      </c>
      <c r="H105" s="5">
        <v>10.699399999999999</v>
      </c>
    </row>
    <row r="106" spans="1:8" x14ac:dyDescent="0.25">
      <c r="A106" s="2" t="s">
        <v>112</v>
      </c>
      <c r="B106" s="5">
        <v>4.8</v>
      </c>
      <c r="C106" s="5">
        <v>10.7</v>
      </c>
      <c r="D106" s="5">
        <v>6.57</v>
      </c>
      <c r="E106" s="5">
        <v>8.06</v>
      </c>
      <c r="F106" s="5">
        <f>VLOOKUP(A106,[1]Hardness!A106:H382,2,TRUE)</f>
        <v>10.039999999999999</v>
      </c>
      <c r="G106" s="5">
        <f>VLOOKUP($A106,[1]Hardness!$A$2:$H$278,3,TRUE)</f>
        <v>1.31</v>
      </c>
      <c r="H106" s="5">
        <v>37.136800000000001</v>
      </c>
    </row>
    <row r="107" spans="1:8" x14ac:dyDescent="0.25">
      <c r="A107" s="2" t="s">
        <v>113</v>
      </c>
      <c r="B107" s="5">
        <v>4.78</v>
      </c>
      <c r="C107" s="5">
        <v>10.6</v>
      </c>
      <c r="D107" s="5">
        <v>6.56</v>
      </c>
      <c r="E107" s="5">
        <v>8.07</v>
      </c>
      <c r="F107" s="5">
        <f>VLOOKUP(A107,[1]Hardness!A107:H383,2,TRUE)</f>
        <v>10.36</v>
      </c>
      <c r="G107" s="5">
        <f>VLOOKUP($A107,[1]Hardness!$A$2:$H$278,3,TRUE)</f>
        <v>1.36</v>
      </c>
      <c r="H107" s="5">
        <v>38.3568</v>
      </c>
    </row>
    <row r="108" spans="1:8" x14ac:dyDescent="0.25">
      <c r="A108" s="2" t="s">
        <v>114</v>
      </c>
      <c r="B108" s="5">
        <v>4.78</v>
      </c>
      <c r="C108" s="5">
        <v>10.65</v>
      </c>
      <c r="D108" s="5">
        <v>6.53</v>
      </c>
      <c r="E108" s="5">
        <v>8.0500000000000007</v>
      </c>
      <c r="F108" s="5">
        <f>VLOOKUP(A108,[1]Hardness!A108:H384,2,TRUE)</f>
        <v>10.039999999999999</v>
      </c>
      <c r="G108" s="5">
        <f>VLOOKUP($A108,[1]Hardness!$A$2:$H$278,3,TRUE)</f>
        <v>1.35</v>
      </c>
      <c r="H108" s="5">
        <v>37.332000000000001</v>
      </c>
    </row>
    <row r="109" spans="1:8" x14ac:dyDescent="0.25">
      <c r="A109" s="2" t="s">
        <v>115</v>
      </c>
      <c r="B109" s="5">
        <v>4.75</v>
      </c>
      <c r="C109" s="5">
        <v>10.63</v>
      </c>
      <c r="D109" s="5">
        <v>6.7</v>
      </c>
      <c r="E109" s="5">
        <v>7.96</v>
      </c>
      <c r="F109" s="5">
        <f>VLOOKUP(A109,[1]Hardness!A109:H385,2,TRUE)</f>
        <v>10.16</v>
      </c>
      <c r="G109" s="5">
        <f>VLOOKUP($A109,[1]Hardness!$A$2:$H$278,3,TRUE)</f>
        <v>1.35</v>
      </c>
      <c r="H109" s="5">
        <v>37.698</v>
      </c>
    </row>
    <row r="110" spans="1:8" x14ac:dyDescent="0.25">
      <c r="A110" s="2" t="s">
        <v>116</v>
      </c>
      <c r="B110" s="5">
        <v>11.8</v>
      </c>
      <c r="C110" s="5">
        <v>0.5</v>
      </c>
      <c r="D110" s="5">
        <v>19</v>
      </c>
      <c r="E110" s="5">
        <v>7.8</v>
      </c>
      <c r="F110" s="5">
        <f>VLOOKUP(A110,[1]Hardness!A110:H386,2,TRUE)</f>
        <v>4.4000000000000004</v>
      </c>
      <c r="G110" s="5">
        <f>VLOOKUP($A110,[1]Hardness!$A$2:$H$278,3,TRUE)</f>
        <v>3.48</v>
      </c>
      <c r="H110" s="5">
        <v>30.8538</v>
      </c>
    </row>
    <row r="111" spans="1:8" x14ac:dyDescent="0.25">
      <c r="A111" s="2" t="s">
        <v>117</v>
      </c>
      <c r="B111" s="5">
        <v>5.78</v>
      </c>
      <c r="C111" s="5">
        <v>22.93</v>
      </c>
      <c r="D111" s="5">
        <v>5.76</v>
      </c>
      <c r="E111" s="5">
        <v>8.15</v>
      </c>
      <c r="F111" s="5">
        <f>VLOOKUP(A111,[1]Hardness!A111:H387,2,TRUE)</f>
        <v>14.62</v>
      </c>
      <c r="G111" s="5">
        <f>VLOOKUP($A111,[1]Hardness!$A$2:$H$278,3,TRUE)</f>
        <v>1.89</v>
      </c>
      <c r="H111" s="5">
        <v>53.984999999999999</v>
      </c>
    </row>
    <row r="112" spans="1:8" x14ac:dyDescent="0.25">
      <c r="A112" s="2" t="s">
        <v>118</v>
      </c>
      <c r="B112" s="5">
        <v>5.63</v>
      </c>
      <c r="C112" s="5">
        <v>21.53</v>
      </c>
      <c r="D112" s="5">
        <v>5.84</v>
      </c>
      <c r="E112" s="5">
        <v>8.11</v>
      </c>
      <c r="F112" s="5">
        <f>VLOOKUP(A112,[1]Hardness!A112:H388,2,TRUE)</f>
        <v>14.44</v>
      </c>
      <c r="G112" s="5">
        <f>VLOOKUP($A112,[1]Hardness!$A$2:$H$278,3,TRUE)</f>
        <v>1.88</v>
      </c>
      <c r="H112" s="5">
        <v>53.387199999999993</v>
      </c>
    </row>
    <row r="113" spans="1:8" x14ac:dyDescent="0.25">
      <c r="A113" s="2" t="s">
        <v>119</v>
      </c>
      <c r="B113" s="5">
        <v>5.0999999999999996</v>
      </c>
      <c r="C113" s="5">
        <v>0.5</v>
      </c>
      <c r="D113" s="5">
        <v>12.5</v>
      </c>
      <c r="E113" s="5">
        <v>8.0299999999999994</v>
      </c>
      <c r="F113" s="5">
        <f>VLOOKUP(A113,[1]Hardness!A113:H389,2,TRUE)</f>
        <v>17.2</v>
      </c>
      <c r="G113" s="5">
        <f>VLOOKUP($A113,[1]Hardness!$A$2:$H$278,3,TRUE)</f>
        <v>0.43</v>
      </c>
      <c r="H113" s="5">
        <v>54.509599999999999</v>
      </c>
    </row>
    <row r="114" spans="1:8" x14ac:dyDescent="0.25">
      <c r="A114" s="2" t="s">
        <v>120</v>
      </c>
      <c r="B114" s="5">
        <v>6.65</v>
      </c>
      <c r="C114" s="5">
        <v>33.049999999999997</v>
      </c>
      <c r="D114" s="5">
        <v>8.6</v>
      </c>
      <c r="E114" s="5">
        <v>7.39</v>
      </c>
      <c r="F114" s="5">
        <f>VLOOKUP(A114,[1]Hardness!A114:H390,2,TRUE)</f>
        <v>19.68</v>
      </c>
      <c r="G114" s="5">
        <f>VLOOKUP($A114,[1]Hardness!$A$2:$H$278,3,TRUE)</f>
        <v>3.49</v>
      </c>
      <c r="H114" s="5">
        <v>77.409000000000006</v>
      </c>
    </row>
    <row r="115" spans="1:8" x14ac:dyDescent="0.25">
      <c r="A115" s="2" t="s">
        <v>121</v>
      </c>
      <c r="B115" s="5">
        <v>6.7</v>
      </c>
      <c r="C115" s="5">
        <v>19.25</v>
      </c>
      <c r="D115" s="5">
        <v>11.23</v>
      </c>
      <c r="E115" s="5">
        <v>7.71</v>
      </c>
      <c r="F115" s="5">
        <f>VLOOKUP(A115,[1]Hardness!A115:H391,2,TRUE)</f>
        <v>12.07</v>
      </c>
      <c r="G115" s="5">
        <f>VLOOKUP($A115,[1]Hardness!$A$2:$H$278,3,TRUE)</f>
        <v>0.95</v>
      </c>
      <c r="H115" s="5">
        <v>41.504400000000004</v>
      </c>
    </row>
    <row r="116" spans="1:8" x14ac:dyDescent="0.25">
      <c r="A116" s="2" t="s">
        <v>122</v>
      </c>
      <c r="B116" s="5">
        <v>6.97</v>
      </c>
      <c r="C116" s="5">
        <v>101.5</v>
      </c>
      <c r="D116" s="5">
        <v>11.08</v>
      </c>
      <c r="E116" s="5">
        <v>7.75</v>
      </c>
      <c r="F116" s="5">
        <f>VLOOKUP(A116,[1]Hardness!A116:H392,2,TRUE)</f>
        <v>43.52</v>
      </c>
      <c r="G116" s="5">
        <f>VLOOKUP($A116,[1]Hardness!$A$2:$H$278,3,TRUE)</f>
        <v>1</v>
      </c>
      <c r="H116" s="5">
        <v>137.48179999999999</v>
      </c>
    </row>
    <row r="117" spans="1:8" x14ac:dyDescent="0.25">
      <c r="A117" s="2" t="s">
        <v>123</v>
      </c>
      <c r="B117" s="5">
        <v>3.9</v>
      </c>
      <c r="C117" s="5">
        <v>0.5</v>
      </c>
      <c r="D117" s="5">
        <v>10.5</v>
      </c>
      <c r="E117" s="5">
        <v>7.53</v>
      </c>
      <c r="F117" s="5">
        <f>VLOOKUP(A117,[1]Hardness!A117:H393,2,TRUE)</f>
        <v>2.2999999999999998</v>
      </c>
      <c r="G117" s="5">
        <f>VLOOKUP($A117,[1]Hardness!$A$2:$H$278,3,TRUE)</f>
        <v>0.7</v>
      </c>
      <c r="H117" s="5">
        <v>10.516399999999999</v>
      </c>
    </row>
    <row r="118" spans="1:8" x14ac:dyDescent="0.25">
      <c r="A118" s="2" t="s">
        <v>124</v>
      </c>
      <c r="B118" s="5">
        <v>7.47</v>
      </c>
      <c r="C118" s="5">
        <v>29</v>
      </c>
      <c r="D118" s="5">
        <v>11.55</v>
      </c>
      <c r="E118" s="5">
        <v>7.79</v>
      </c>
      <c r="F118" s="5">
        <f>VLOOKUP(A118,[1]Hardness!A118:H394,2,TRUE)</f>
        <v>15.07</v>
      </c>
      <c r="G118" s="5">
        <f>VLOOKUP($A118,[1]Hardness!$A$2:$H$278,3,TRUE)</f>
        <v>0.91</v>
      </c>
      <c r="H118" s="5">
        <v>50.434800000000003</v>
      </c>
    </row>
    <row r="119" spans="1:8" x14ac:dyDescent="0.25">
      <c r="A119" s="2" t="s">
        <v>125</v>
      </c>
      <c r="B119" s="5">
        <v>20.7</v>
      </c>
      <c r="C119" s="5">
        <v>1.5</v>
      </c>
      <c r="D119" s="5">
        <v>38.5</v>
      </c>
      <c r="E119" s="5">
        <v>7.4</v>
      </c>
      <c r="F119" s="5">
        <f>VLOOKUP(A119,[1]Hardness!A119:H395,2,TRUE)</f>
        <v>4.4000000000000004</v>
      </c>
      <c r="G119" s="5">
        <f>VLOOKUP($A119,[1]Hardness!$A$2:$H$278,3,TRUE)</f>
        <v>2.9</v>
      </c>
      <c r="H119" s="5">
        <v>27.937999999999999</v>
      </c>
    </row>
    <row r="120" spans="1:8" x14ac:dyDescent="0.25">
      <c r="A120" s="2" t="s">
        <v>126</v>
      </c>
      <c r="B120" s="5">
        <v>13.1</v>
      </c>
      <c r="C120" s="5">
        <v>10.25</v>
      </c>
      <c r="D120" s="5">
        <v>22.57</v>
      </c>
      <c r="E120" s="5">
        <v>8.16</v>
      </c>
      <c r="F120" s="5">
        <f>VLOOKUP(A120,[1]Hardness!A120:H396,2,TRUE)</f>
        <v>20.190000000000001</v>
      </c>
      <c r="G120" s="5">
        <f>VLOOKUP($A120,[1]Hardness!$A$2:$H$278,3,TRUE)</f>
        <v>3.64</v>
      </c>
      <c r="H120" s="5">
        <v>79.714799999999997</v>
      </c>
    </row>
    <row r="121" spans="1:8" x14ac:dyDescent="0.25">
      <c r="A121" s="2" t="s">
        <v>127</v>
      </c>
      <c r="B121" s="5">
        <v>12.9</v>
      </c>
      <c r="C121" s="5">
        <v>7.4</v>
      </c>
      <c r="D121" s="5">
        <v>13.75</v>
      </c>
      <c r="E121" s="5">
        <v>8.0500000000000007</v>
      </c>
      <c r="F121" s="5">
        <f>VLOOKUP(A121,[1]Hardness!A121:H397,2,TRUE)</f>
        <v>13.23</v>
      </c>
      <c r="G121" s="5">
        <f>VLOOKUP($A121,[1]Hardness!$A$2:$H$278,3,TRUE)</f>
        <v>4.8499999999999996</v>
      </c>
      <c r="H121" s="5">
        <v>64.599000000000004</v>
      </c>
    </row>
    <row r="122" spans="1:8" x14ac:dyDescent="0.25">
      <c r="A122" s="2" t="s">
        <v>128</v>
      </c>
      <c r="B122" s="5">
        <v>19.829999999999998</v>
      </c>
      <c r="C122" s="5">
        <v>4.67</v>
      </c>
      <c r="D122" s="5">
        <v>13.03</v>
      </c>
      <c r="E122" s="5">
        <v>8.09</v>
      </c>
      <c r="F122" s="5">
        <f>VLOOKUP(A122,[1]Hardness!A122:H398,2,TRUE)</f>
        <v>15</v>
      </c>
      <c r="G122" s="5">
        <f>VLOOKUP($A122,[1]Hardness!$A$2:$H$278,3,TRUE)</f>
        <v>4.38</v>
      </c>
      <c r="H122" s="5">
        <v>67.636799999999994</v>
      </c>
    </row>
    <row r="123" spans="1:8" x14ac:dyDescent="0.25">
      <c r="A123" s="2" t="s">
        <v>129</v>
      </c>
      <c r="B123" s="5">
        <v>18.48</v>
      </c>
      <c r="C123" s="5">
        <v>37.65</v>
      </c>
      <c r="D123" s="5">
        <v>29.35</v>
      </c>
      <c r="E123" s="5">
        <v>8.0500000000000007</v>
      </c>
      <c r="F123" s="5">
        <f>VLOOKUP(A123,[1]Hardness!A123:H399,2,TRUE)</f>
        <v>27.01</v>
      </c>
      <c r="G123" s="5">
        <f>VLOOKUP($A123,[1]Hardness!$A$2:$H$278,3,TRUE)</f>
        <v>5.65</v>
      </c>
      <c r="H123" s="5">
        <v>110.5564</v>
      </c>
    </row>
    <row r="124" spans="1:8" x14ac:dyDescent="0.25">
      <c r="A124" s="2" t="s">
        <v>130</v>
      </c>
      <c r="B124" s="5">
        <v>5.7</v>
      </c>
      <c r="C124" s="5">
        <v>0.5</v>
      </c>
      <c r="D124" s="5">
        <v>8.5</v>
      </c>
      <c r="E124" s="5">
        <v>8.1999999999999993</v>
      </c>
      <c r="F124" s="5">
        <f>VLOOKUP(A124,[1]Hardness!A124:H400,2,TRUE)</f>
        <v>2.2000000000000002</v>
      </c>
      <c r="G124" s="5">
        <f>VLOOKUP($A124,[1]Hardness!$A$2:$H$278,3,TRUE)</f>
        <v>0.4</v>
      </c>
      <c r="H124" s="5">
        <v>8.698599999999999</v>
      </c>
    </row>
    <row r="125" spans="1:8" x14ac:dyDescent="0.25">
      <c r="A125" s="2" t="s">
        <v>131</v>
      </c>
      <c r="B125" s="5">
        <v>16.2</v>
      </c>
      <c r="C125" s="5">
        <v>13.15</v>
      </c>
      <c r="D125" s="5">
        <v>31.71</v>
      </c>
      <c r="E125" s="5">
        <v>7.06</v>
      </c>
      <c r="F125" s="5">
        <f>VLOOKUP(A125,[1]Hardness!A125:H401,2,TRUE)</f>
        <v>31</v>
      </c>
      <c r="G125" s="5">
        <f>VLOOKUP($A125,[1]Hardness!$A$2:$H$278,3,TRUE)</f>
        <v>7.4</v>
      </c>
      <c r="H125" s="5">
        <v>131.4794</v>
      </c>
    </row>
    <row r="126" spans="1:8" x14ac:dyDescent="0.25">
      <c r="A126" s="2" t="s">
        <v>132</v>
      </c>
      <c r="B126" s="5">
        <v>30.3</v>
      </c>
      <c r="C126" s="5">
        <v>21.8</v>
      </c>
      <c r="D126" s="5">
        <v>10.75</v>
      </c>
      <c r="E126" s="5">
        <v>7.73</v>
      </c>
      <c r="F126" s="5">
        <f>VLOOKUP(A126,[1]Hardness!A126:H402,2,TRUE)</f>
        <v>1.9</v>
      </c>
      <c r="G126" s="5">
        <f>VLOOKUP($A126,[1]Hardness!$A$2:$H$278,3,TRUE)</f>
        <v>0.7</v>
      </c>
      <c r="H126" s="5">
        <v>9.2964000000000002</v>
      </c>
    </row>
    <row r="127" spans="1:8" x14ac:dyDescent="0.25">
      <c r="A127" s="2" t="s">
        <v>133</v>
      </c>
      <c r="B127" s="5">
        <v>8.73</v>
      </c>
      <c r="C127" s="5">
        <v>3.9</v>
      </c>
      <c r="D127" s="5">
        <v>15.89</v>
      </c>
      <c r="E127" s="5">
        <v>7.72</v>
      </c>
      <c r="F127" s="5">
        <f>VLOOKUP(A127,[1]Hardness!A127:H403,2,TRUE)</f>
        <v>5.8</v>
      </c>
      <c r="G127" s="5">
        <f>VLOOKUP($A127,[1]Hardness!$A$2:$H$278,3,TRUE)</f>
        <v>1.21</v>
      </c>
      <c r="H127" s="5">
        <v>23.728999999999999</v>
      </c>
    </row>
    <row r="128" spans="1:8" x14ac:dyDescent="0.25">
      <c r="A128" s="2" t="s">
        <v>134</v>
      </c>
      <c r="B128" s="5">
        <v>3.2</v>
      </c>
      <c r="C128" s="5">
        <v>0.5</v>
      </c>
      <c r="D128" s="5">
        <v>4.5</v>
      </c>
      <c r="E128" s="5">
        <v>7.88</v>
      </c>
      <c r="F128" s="5">
        <f>VLOOKUP(A128,[1]Hardness!A128:H404,2,TRUE)</f>
        <v>2.4500000000000002</v>
      </c>
      <c r="G128" s="5">
        <f>VLOOKUP($A128,[1]Hardness!$A$2:$H$278,3,TRUE)</f>
        <v>0.4</v>
      </c>
      <c r="H128" s="5">
        <v>9.4672000000000001</v>
      </c>
    </row>
    <row r="129" spans="1:8" x14ac:dyDescent="0.25">
      <c r="A129" s="2" t="s">
        <v>135</v>
      </c>
      <c r="B129" s="5">
        <v>5.6</v>
      </c>
      <c r="C129" s="5">
        <v>0.9</v>
      </c>
      <c r="D129" s="5">
        <v>6.25</v>
      </c>
      <c r="E129" s="5">
        <v>8.08</v>
      </c>
      <c r="F129" s="5">
        <f>VLOOKUP(A129,[1]Hardness!A129:H405,2,TRUE)</f>
        <v>10.97</v>
      </c>
      <c r="G129" s="5">
        <f>VLOOKUP($A129,[1]Hardness!$A$2:$H$278,3,TRUE)</f>
        <v>0.5</v>
      </c>
      <c r="H129" s="5">
        <v>35.904600000000002</v>
      </c>
    </row>
    <row r="130" spans="1:8" x14ac:dyDescent="0.25">
      <c r="A130" s="2" t="s">
        <v>136</v>
      </c>
      <c r="B130" s="5">
        <v>8.2200000000000006</v>
      </c>
      <c r="C130" s="5">
        <v>2.98</v>
      </c>
      <c r="D130" s="5">
        <v>17.14</v>
      </c>
      <c r="E130" s="5">
        <v>8.23</v>
      </c>
      <c r="F130" s="5">
        <f>VLOOKUP(A130,[1]Hardness!A130:H406,2,TRUE)</f>
        <v>10.28</v>
      </c>
      <c r="G130" s="5">
        <f>VLOOKUP($A130,[1]Hardness!$A$2:$H$278,3,TRUE)</f>
        <v>1.1599999999999999</v>
      </c>
      <c r="H130" s="5">
        <v>37.112400000000001</v>
      </c>
    </row>
    <row r="131" spans="1:8" x14ac:dyDescent="0.25">
      <c r="A131" s="2" t="s">
        <v>137</v>
      </c>
      <c r="B131" s="5">
        <v>2.7</v>
      </c>
      <c r="C131" s="5">
        <v>0.5</v>
      </c>
      <c r="D131" s="5">
        <v>4</v>
      </c>
      <c r="E131" s="5">
        <v>8.15</v>
      </c>
      <c r="F131" s="5">
        <f>VLOOKUP(A131,[1]Hardness!A131:H407,2,TRUE)</f>
        <v>2</v>
      </c>
      <c r="G131" s="5">
        <f>VLOOKUP($A131,[1]Hardness!$A$2:$H$278,3,TRUE)</f>
        <v>0.4</v>
      </c>
      <c r="H131" s="5">
        <v>8.0885999999999996</v>
      </c>
    </row>
    <row r="132" spans="1:8" x14ac:dyDescent="0.25">
      <c r="A132" s="2" t="s">
        <v>138</v>
      </c>
      <c r="B132" s="5">
        <v>33.700000000000003</v>
      </c>
      <c r="C132" s="5">
        <v>17.2</v>
      </c>
      <c r="D132" s="5">
        <v>38.25</v>
      </c>
      <c r="E132" s="5">
        <v>8.1300000000000008</v>
      </c>
      <c r="F132" s="5">
        <f>VLOOKUP(A132,[1]Hardness!A132:H408,2,TRUE)</f>
        <v>37.200000000000003</v>
      </c>
      <c r="G132" s="5">
        <f>VLOOKUP($A132,[1]Hardness!$A$2:$H$278,3,TRUE)</f>
        <v>7.15</v>
      </c>
      <c r="H132" s="5">
        <v>149.09619999999998</v>
      </c>
    </row>
    <row r="133" spans="1:8" x14ac:dyDescent="0.25">
      <c r="A133" s="2" t="s">
        <v>139</v>
      </c>
      <c r="B133" s="5">
        <v>21.9</v>
      </c>
      <c r="C133" s="5">
        <v>12.27</v>
      </c>
      <c r="D133" s="5">
        <v>8.1199999999999992</v>
      </c>
      <c r="E133" s="5">
        <v>7.94</v>
      </c>
      <c r="F133" s="5">
        <f>VLOOKUP(A133,[1]Hardness!A133:H409,2,TRUE)</f>
        <v>10.57</v>
      </c>
      <c r="G133" s="5">
        <f>VLOOKUP($A133,[1]Hardness!$A$2:$H$278,3,TRUE)</f>
        <v>3.9</v>
      </c>
      <c r="H133" s="5">
        <v>51.740199999999994</v>
      </c>
    </row>
    <row r="134" spans="1:8" x14ac:dyDescent="0.25">
      <c r="A134" s="2" t="s">
        <v>140</v>
      </c>
      <c r="D134" s="5">
        <v>45.67</v>
      </c>
      <c r="E134" s="5">
        <v>7.4</v>
      </c>
      <c r="F134" s="5">
        <f>VLOOKUP(A134,[1]Hardness!A134:H410,2,TRUE)</f>
        <v>9.1999999999999993</v>
      </c>
      <c r="G134" s="5">
        <f>VLOOKUP($A134,[1]Hardness!$A$2:$H$278,3,TRUE)</f>
        <v>2</v>
      </c>
      <c r="H134" s="5">
        <v>38.0396</v>
      </c>
    </row>
    <row r="135" spans="1:8" x14ac:dyDescent="0.25">
      <c r="A135" s="2" t="s">
        <v>141</v>
      </c>
      <c r="B135" s="5">
        <v>9.6999999999999993</v>
      </c>
      <c r="C135" s="5">
        <v>0.5</v>
      </c>
      <c r="D135" s="5">
        <v>17.75</v>
      </c>
      <c r="E135" s="5">
        <v>7.9</v>
      </c>
      <c r="F135" s="5">
        <f>VLOOKUP(A135,[1]Hardness!A135:H411,2,TRUE)</f>
        <v>3.4</v>
      </c>
      <c r="G135" s="5">
        <f>VLOOKUP($A135,[1]Hardness!$A$2:$H$278,3,TRUE)</f>
        <v>2.17</v>
      </c>
      <c r="H135" s="5">
        <v>21.240199999999998</v>
      </c>
    </row>
    <row r="136" spans="1:8" x14ac:dyDescent="0.25">
      <c r="A136" s="2" t="s">
        <v>142</v>
      </c>
      <c r="B136" s="5">
        <v>13.1</v>
      </c>
      <c r="C136" s="5">
        <v>13.7</v>
      </c>
      <c r="D136" s="5">
        <v>11.31</v>
      </c>
      <c r="E136" s="5">
        <v>8.5399999999999991</v>
      </c>
      <c r="F136" s="5">
        <f>VLOOKUP(A136,[1]Hardness!A136:H412,2,TRUE)</f>
        <v>18.95</v>
      </c>
      <c r="G136" s="5">
        <f>VLOOKUP($A136,[1]Hardness!$A$2:$H$278,3,TRUE)</f>
        <v>1.36</v>
      </c>
      <c r="H136" s="5">
        <v>64.50139999999999</v>
      </c>
    </row>
    <row r="137" spans="1:8" x14ac:dyDescent="0.25">
      <c r="A137" s="2" t="s">
        <v>143</v>
      </c>
      <c r="B137" s="5">
        <v>3.9</v>
      </c>
      <c r="C137" s="5">
        <v>0.6</v>
      </c>
      <c r="D137" s="5">
        <v>13.75</v>
      </c>
      <c r="E137" s="5">
        <v>8.0299999999999994</v>
      </c>
      <c r="F137" s="5">
        <f>VLOOKUP(A137,[1]Hardness!A137:H413,2,TRUE)</f>
        <v>5.28</v>
      </c>
      <c r="G137" s="5">
        <f>VLOOKUP($A137,[1]Hardness!$A$2:$H$278,3,TRUE)</f>
        <v>0.62</v>
      </c>
      <c r="H137" s="5">
        <v>19.1784</v>
      </c>
    </row>
    <row r="138" spans="1:8" x14ac:dyDescent="0.25">
      <c r="A138" s="2" t="s">
        <v>144</v>
      </c>
      <c r="B138" s="5">
        <v>10.77</v>
      </c>
      <c r="C138" s="5">
        <v>1.57</v>
      </c>
      <c r="D138" s="5">
        <v>19.84</v>
      </c>
      <c r="E138" s="5">
        <v>7.43</v>
      </c>
      <c r="F138" s="5">
        <f>VLOOKUP(A138,[1]Hardness!A138:H414,2,TRUE)</f>
        <v>3.42</v>
      </c>
      <c r="G138" s="5">
        <f>VLOOKUP($A138,[1]Hardness!$A$2:$H$278,3,TRUE)</f>
        <v>1.2</v>
      </c>
      <c r="H138" s="5">
        <v>16.433399999999999</v>
      </c>
    </row>
    <row r="139" spans="1:8" x14ac:dyDescent="0.25">
      <c r="A139" s="2" t="s">
        <v>145</v>
      </c>
      <c r="B139" s="5">
        <v>19.2</v>
      </c>
      <c r="C139" s="5">
        <v>3.5</v>
      </c>
      <c r="D139" s="5">
        <v>19.5</v>
      </c>
      <c r="E139" s="5">
        <v>8.2799999999999994</v>
      </c>
      <c r="F139" s="5">
        <f>VLOOKUP(A139,[1]Hardness!A139:H415,2,TRUE)</f>
        <v>13.1</v>
      </c>
      <c r="G139" s="5">
        <f>VLOOKUP($A139,[1]Hardness!$A$2:$H$278,3,TRUE)</f>
        <v>3.8</v>
      </c>
      <c r="H139" s="5">
        <v>58.938200000000002</v>
      </c>
    </row>
    <row r="140" spans="1:8" x14ac:dyDescent="0.25">
      <c r="A140" s="2" t="s">
        <v>146</v>
      </c>
      <c r="B140" s="5">
        <v>7.4</v>
      </c>
      <c r="C140" s="5">
        <v>1.3</v>
      </c>
      <c r="D140" s="5">
        <v>9.75</v>
      </c>
      <c r="E140" s="5">
        <v>7.68</v>
      </c>
      <c r="F140" s="5">
        <f>VLOOKUP(A140,[1]Hardness!A140:H416,2,TRUE)</f>
        <v>7.12</v>
      </c>
      <c r="G140" s="5">
        <f>VLOOKUP($A140,[1]Hardness!$A$2:$H$278,3,TRUE)</f>
        <v>1.05</v>
      </c>
      <c r="H140" s="5">
        <v>26.937599999999996</v>
      </c>
    </row>
    <row r="141" spans="1:8" x14ac:dyDescent="0.25">
      <c r="A141" s="2" t="s">
        <v>147</v>
      </c>
      <c r="B141" s="5">
        <v>32.299999999999997</v>
      </c>
      <c r="C141" s="5">
        <v>4.0999999999999996</v>
      </c>
      <c r="D141" s="5">
        <v>6.25</v>
      </c>
      <c r="E141" s="5">
        <v>8.1999999999999993</v>
      </c>
      <c r="F141" s="5">
        <f>VLOOKUP(A141,[1]Hardness!A141:H417,2,TRUE)</f>
        <v>5.7</v>
      </c>
      <c r="G141" s="5">
        <f>VLOOKUP($A141,[1]Hardness!$A$2:$H$278,3,TRUE)</f>
        <v>1.27</v>
      </c>
      <c r="H141" s="5">
        <v>23.716800000000003</v>
      </c>
    </row>
    <row r="142" spans="1:8" x14ac:dyDescent="0.25">
      <c r="A142" s="2" t="s">
        <v>148</v>
      </c>
      <c r="B142" s="5">
        <v>8.3000000000000007</v>
      </c>
      <c r="C142" s="5">
        <v>0.5</v>
      </c>
      <c r="D142" s="5">
        <v>14.25</v>
      </c>
      <c r="E142" s="5">
        <v>7.58</v>
      </c>
      <c r="F142" s="5">
        <f>VLOOKUP(A142,[1]Hardness!A142:H418,2,TRUE)</f>
        <v>2.77</v>
      </c>
      <c r="G142" s="5">
        <f>VLOOKUP($A142,[1]Hardness!$A$2:$H$278,3,TRUE)</f>
        <v>0.72</v>
      </c>
      <c r="H142" s="5">
        <v>12.041399999999999</v>
      </c>
    </row>
    <row r="143" spans="1:8" x14ac:dyDescent="0.25">
      <c r="A143" s="2" t="s">
        <v>149</v>
      </c>
      <c r="B143" s="5">
        <v>4.5999999999999996</v>
      </c>
      <c r="C143" s="5">
        <v>0.5</v>
      </c>
      <c r="D143" s="5">
        <v>7.5</v>
      </c>
      <c r="E143" s="5">
        <v>7.48</v>
      </c>
      <c r="F143" s="5">
        <f>VLOOKUP(A143,[1]Hardness!A143:H419,2,TRUE)</f>
        <v>1.6</v>
      </c>
      <c r="G143" s="5">
        <f>VLOOKUP($A143,[1]Hardness!$A$2:$H$278,3,TRUE)</f>
        <v>0.4</v>
      </c>
      <c r="H143" s="5">
        <v>6.8807999999999998</v>
      </c>
    </row>
    <row r="144" spans="1:8" x14ac:dyDescent="0.25">
      <c r="A144" s="2" t="s">
        <v>150</v>
      </c>
      <c r="B144" s="5">
        <v>6.4</v>
      </c>
      <c r="C144" s="5">
        <v>0.5</v>
      </c>
      <c r="D144" s="5">
        <v>5.5</v>
      </c>
      <c r="E144" s="5">
        <v>7.78</v>
      </c>
      <c r="F144" s="5">
        <f>VLOOKUP(A144,[1]Hardness!A144:H420,2,TRUE)</f>
        <v>2.5</v>
      </c>
      <c r="G144" s="5">
        <f>VLOOKUP($A144,[1]Hardness!$A$2:$H$278,3,TRUE)</f>
        <v>0.4</v>
      </c>
      <c r="H144" s="5">
        <v>9.6135999999999999</v>
      </c>
    </row>
    <row r="145" spans="1:8" x14ac:dyDescent="0.25">
      <c r="A145" s="2" t="s">
        <v>151</v>
      </c>
      <c r="B145" s="5">
        <v>48.15</v>
      </c>
      <c r="C145" s="5">
        <v>65.650000000000006</v>
      </c>
      <c r="D145" s="5">
        <v>46.94</v>
      </c>
      <c r="E145" s="5">
        <v>8.06</v>
      </c>
      <c r="F145" s="5">
        <f>VLOOKUP(A145,[1]Hardness!A145:H421,2,TRUE)</f>
        <v>29.81</v>
      </c>
      <c r="G145" s="5">
        <f>VLOOKUP($A145,[1]Hardness!$A$2:$H$278,3,TRUE)</f>
        <v>8.86</v>
      </c>
      <c r="H145" s="5">
        <v>135.18819999999999</v>
      </c>
    </row>
    <row r="146" spans="1:8" x14ac:dyDescent="0.25">
      <c r="A146" s="2" t="s">
        <v>152</v>
      </c>
      <c r="B146" s="5">
        <v>3.8</v>
      </c>
      <c r="C146" s="5">
        <v>1.8</v>
      </c>
      <c r="D146" s="5">
        <v>4.75</v>
      </c>
      <c r="E146" s="5">
        <v>7.78</v>
      </c>
      <c r="F146" s="5">
        <f>VLOOKUP(A146,[1]Hardness!A146:H422,2,TRUE)</f>
        <v>4.05</v>
      </c>
      <c r="G146" s="5">
        <f>VLOOKUP($A146,[1]Hardness!$A$2:$H$278,3,TRUE)</f>
        <v>1.2</v>
      </c>
      <c r="H146" s="5">
        <v>18.348799999999997</v>
      </c>
    </row>
    <row r="147" spans="1:8" x14ac:dyDescent="0.25">
      <c r="A147" s="2" t="s">
        <v>153</v>
      </c>
      <c r="B147" s="5">
        <v>7.6</v>
      </c>
      <c r="C147" s="5">
        <v>1.6</v>
      </c>
      <c r="D147" s="5">
        <v>13.29</v>
      </c>
      <c r="E147" s="5">
        <v>8.34</v>
      </c>
      <c r="F147" s="5">
        <f>VLOOKUP(A147,[1]Hardness!A147:H423,2,TRUE)</f>
        <v>2.73</v>
      </c>
      <c r="G147" s="5">
        <f>VLOOKUP($A147,[1]Hardness!$A$2:$H$278,3,TRUE)</f>
        <v>1.7</v>
      </c>
      <c r="H147" s="5">
        <v>16.836000000000002</v>
      </c>
    </row>
    <row r="148" spans="1:8" x14ac:dyDescent="0.25">
      <c r="A148" s="2" t="s">
        <v>154</v>
      </c>
      <c r="B148" s="5">
        <v>5.8</v>
      </c>
      <c r="C148" s="5">
        <v>0.5</v>
      </c>
      <c r="D148" s="5">
        <v>12</v>
      </c>
      <c r="E148" s="5">
        <v>7.38</v>
      </c>
      <c r="F148" s="5">
        <f>VLOOKUP(A148,[1]Hardness!A148:H424,2,TRUE)</f>
        <v>2.2999999999999998</v>
      </c>
      <c r="G148" s="5">
        <f>VLOOKUP($A148,[1]Hardness!$A$2:$H$278,3,TRUE)</f>
        <v>0.8</v>
      </c>
      <c r="H148" s="5">
        <v>11.016599999999999</v>
      </c>
    </row>
    <row r="149" spans="1:8" x14ac:dyDescent="0.25">
      <c r="A149" s="2" t="s">
        <v>155</v>
      </c>
      <c r="B149" s="5">
        <v>26</v>
      </c>
      <c r="C149" s="5">
        <v>30.4</v>
      </c>
      <c r="D149" s="5">
        <v>23</v>
      </c>
      <c r="E149" s="5">
        <v>8.0299999999999994</v>
      </c>
      <c r="F149" s="5">
        <f>VLOOKUP(A149,[1]Hardness!A149:H425,2,TRUE)</f>
        <v>29.5</v>
      </c>
      <c r="G149" s="5">
        <f>VLOOKUP($A149,[1]Hardness!$A$2:$H$278,3,TRUE)</f>
        <v>1.9</v>
      </c>
      <c r="H149" s="5">
        <v>99.332400000000007</v>
      </c>
    </row>
    <row r="150" spans="1:8" x14ac:dyDescent="0.25">
      <c r="A150" s="2" t="s">
        <v>156</v>
      </c>
      <c r="B150" s="5">
        <v>10.6</v>
      </c>
      <c r="C150" s="5">
        <v>0.5</v>
      </c>
      <c r="D150" s="5">
        <v>20.75</v>
      </c>
      <c r="E150" s="5">
        <v>7.58</v>
      </c>
      <c r="F150" s="5">
        <f>VLOOKUP(A150,[1]Hardness!A150:H426,2,TRUE)</f>
        <v>2.6</v>
      </c>
      <c r="G150" s="5">
        <f>VLOOKUP($A150,[1]Hardness!$A$2:$H$278,3,TRUE)</f>
        <v>1.2</v>
      </c>
      <c r="H150" s="5">
        <v>13.932399999999999</v>
      </c>
    </row>
    <row r="151" spans="1:8" x14ac:dyDescent="0.25">
      <c r="A151" s="2" t="s">
        <v>157</v>
      </c>
      <c r="B151" s="5">
        <v>11.7</v>
      </c>
      <c r="C151" s="5">
        <v>16.899999999999999</v>
      </c>
      <c r="D151" s="5">
        <v>22.14</v>
      </c>
      <c r="E151" s="5">
        <v>7.73</v>
      </c>
      <c r="F151" s="5">
        <f>VLOOKUP(A151,[1]Hardness!A151:H427,2,TRUE)</f>
        <v>37.65</v>
      </c>
      <c r="G151" s="5">
        <f>VLOOKUP($A151,[1]Hardness!$A$2:$H$278,3,TRUE)</f>
        <v>18.739999999999998</v>
      </c>
      <c r="H151" s="5">
        <v>208.62</v>
      </c>
    </row>
    <row r="152" spans="1:8" x14ac:dyDescent="0.25">
      <c r="A152" s="2" t="s">
        <v>158</v>
      </c>
      <c r="B152" s="5">
        <v>29.13</v>
      </c>
      <c r="C152" s="5">
        <v>45.57</v>
      </c>
      <c r="D152" s="5">
        <v>47.36</v>
      </c>
      <c r="E152" s="5">
        <v>8.08</v>
      </c>
      <c r="F152" s="5">
        <f>VLOOKUP(A152,[1]Hardness!A152:H428,2,TRUE)</f>
        <v>17.84</v>
      </c>
      <c r="G152" s="5">
        <f>VLOOKUP($A152,[1]Hardness!$A$2:$H$278,3,TRUE)</f>
        <v>3.73</v>
      </c>
      <c r="H152" s="5">
        <v>73.016999999999996</v>
      </c>
    </row>
    <row r="153" spans="1:8" x14ac:dyDescent="0.25">
      <c r="A153" s="2" t="s">
        <v>159</v>
      </c>
      <c r="B153" s="5">
        <v>5.54</v>
      </c>
      <c r="C153" s="5">
        <v>13.32</v>
      </c>
      <c r="D153" s="5">
        <v>5.97</v>
      </c>
      <c r="E153" s="5">
        <v>7.77</v>
      </c>
      <c r="F153" s="5">
        <f>VLOOKUP(A153,[1]Hardness!A153:H429,2,TRUE)</f>
        <v>8.34</v>
      </c>
      <c r="G153" s="5">
        <f>VLOOKUP($A153,[1]Hardness!$A$2:$H$278,3,TRUE)</f>
        <v>1.45</v>
      </c>
      <c r="H153" s="5">
        <v>32.659399999999998</v>
      </c>
    </row>
    <row r="154" spans="1:8" x14ac:dyDescent="0.25">
      <c r="A154" s="2" t="s">
        <v>160</v>
      </c>
      <c r="B154" s="5">
        <v>11.8</v>
      </c>
      <c r="C154" s="5">
        <v>6</v>
      </c>
      <c r="D154" s="5">
        <v>21.5</v>
      </c>
      <c r="E154" s="5">
        <v>7.5</v>
      </c>
      <c r="F154" s="5">
        <f>VLOOKUP(A154,[1]Hardness!A154:H430,2,TRUE)</f>
        <v>109.2</v>
      </c>
      <c r="G154" s="5">
        <f>VLOOKUP($A154,[1]Hardness!$A$2:$H$278,3,TRUE)</f>
        <v>3.3</v>
      </c>
      <c r="H154" s="5">
        <v>348.94439999999997</v>
      </c>
    </row>
    <row r="155" spans="1:8" x14ac:dyDescent="0.25">
      <c r="A155" s="2" t="s">
        <v>161</v>
      </c>
      <c r="B155" s="5">
        <v>13</v>
      </c>
      <c r="C155" s="5">
        <v>12.7</v>
      </c>
      <c r="D155" s="5">
        <v>11.14</v>
      </c>
      <c r="E155" s="5">
        <v>7.81</v>
      </c>
      <c r="F155" s="5">
        <f>VLOOKUP(A155,[1]Hardness!A155:H431,2,TRUE)</f>
        <v>2.21</v>
      </c>
      <c r="G155" s="5">
        <f>VLOOKUP($A155,[1]Hardness!$A$2:$H$278,3,TRUE)</f>
        <v>0.88</v>
      </c>
      <c r="H155" s="5">
        <v>11.1386</v>
      </c>
    </row>
    <row r="156" spans="1:8" x14ac:dyDescent="0.25">
      <c r="A156" s="2" t="s">
        <v>162</v>
      </c>
      <c r="B156" s="5">
        <v>8.9</v>
      </c>
      <c r="C156" s="5">
        <v>0.7</v>
      </c>
      <c r="D156" s="5">
        <v>16.5</v>
      </c>
      <c r="E156" s="5">
        <v>7.7</v>
      </c>
      <c r="F156" s="5">
        <f>VLOOKUP(A156,[1]Hardness!A156:H432,2,TRUE)</f>
        <v>4.08</v>
      </c>
      <c r="G156" s="5">
        <f>VLOOKUP($A156,[1]Hardness!$A$2:$H$278,3,TRUE)</f>
        <v>1.68</v>
      </c>
      <c r="H156" s="5">
        <v>20.849799999999998</v>
      </c>
    </row>
    <row r="157" spans="1:8" x14ac:dyDescent="0.25">
      <c r="A157" s="2" t="s">
        <v>163</v>
      </c>
      <c r="B157" s="5">
        <v>6.6</v>
      </c>
      <c r="C157" s="5">
        <v>1.2</v>
      </c>
      <c r="D157" s="5">
        <v>10</v>
      </c>
      <c r="E157" s="5">
        <v>7.88</v>
      </c>
      <c r="F157" s="5">
        <f>VLOOKUP(A157,[1]Hardness!A157:H433,2,TRUE)</f>
        <v>3.38</v>
      </c>
      <c r="G157" s="5">
        <f>VLOOKUP($A157,[1]Hardness!$A$2:$H$278,3,TRUE)</f>
        <v>0.9</v>
      </c>
      <c r="H157" s="5">
        <v>14.7986</v>
      </c>
    </row>
    <row r="158" spans="1:8" x14ac:dyDescent="0.25">
      <c r="A158" s="2" t="s">
        <v>164</v>
      </c>
      <c r="B158" s="5">
        <v>3</v>
      </c>
      <c r="C158" s="5">
        <v>0.5</v>
      </c>
      <c r="D158" s="5">
        <v>4.75</v>
      </c>
      <c r="E158" s="5">
        <v>7.93</v>
      </c>
      <c r="F158" s="5">
        <f>VLOOKUP(A158,[1]Hardness!A158:H434,2,TRUE)</f>
        <v>3.6</v>
      </c>
      <c r="G158" s="5">
        <f>VLOOKUP($A158,[1]Hardness!$A$2:$H$278,3,TRUE)</f>
        <v>0.55000000000000004</v>
      </c>
      <c r="H158" s="5">
        <v>13.7128</v>
      </c>
    </row>
    <row r="159" spans="1:8" x14ac:dyDescent="0.25">
      <c r="A159" s="2" t="s">
        <v>165</v>
      </c>
      <c r="B159" s="5">
        <v>4.0999999999999996</v>
      </c>
      <c r="C159" s="5">
        <v>0.5</v>
      </c>
      <c r="D159" s="5">
        <v>7.75</v>
      </c>
      <c r="E159" s="5">
        <v>7.73</v>
      </c>
      <c r="F159" s="5">
        <f>VLOOKUP(A159,[1]Hardness!A159:H435,2,TRUE)</f>
        <v>2.33</v>
      </c>
      <c r="G159" s="5">
        <f>VLOOKUP($A159,[1]Hardness!$A$2:$H$278,3,TRUE)</f>
        <v>0.52</v>
      </c>
      <c r="H159" s="5">
        <v>9.6989999999999998</v>
      </c>
    </row>
    <row r="160" spans="1:8" x14ac:dyDescent="0.25">
      <c r="A160" s="2" t="s">
        <v>166</v>
      </c>
      <c r="B160" s="5">
        <v>5.17</v>
      </c>
      <c r="C160" s="5">
        <v>1.7</v>
      </c>
      <c r="D160" s="5">
        <v>20.68</v>
      </c>
      <c r="E160" s="5">
        <v>7.86</v>
      </c>
      <c r="F160" s="5">
        <f>VLOOKUP(A160,[1]Hardness!A160:H436,2,TRUE)</f>
        <v>9.7799999999999994</v>
      </c>
      <c r="G160" s="5">
        <f>VLOOKUP($A160,[1]Hardness!$A$2:$H$278,3,TRUE)</f>
        <v>1.41</v>
      </c>
      <c r="H160" s="5">
        <v>36.844000000000001</v>
      </c>
    </row>
    <row r="161" spans="1:8" x14ac:dyDescent="0.25">
      <c r="A161" s="2" t="s">
        <v>167</v>
      </c>
      <c r="B161" s="5">
        <v>11.3</v>
      </c>
      <c r="C161" s="5">
        <v>1.1000000000000001</v>
      </c>
      <c r="D161" s="5">
        <v>20.5</v>
      </c>
      <c r="E161" s="5">
        <v>7.78</v>
      </c>
      <c r="F161" s="5">
        <f>VLOOKUP(A161,[1]Hardness!A161:H437,2,TRUE)</f>
        <v>3.52</v>
      </c>
      <c r="G161" s="5">
        <f>VLOOKUP($A161,[1]Hardness!$A$2:$H$278,3,TRUE)</f>
        <v>1.38</v>
      </c>
      <c r="H161" s="5">
        <v>17.641200000000001</v>
      </c>
    </row>
    <row r="162" spans="1:8" x14ac:dyDescent="0.25">
      <c r="A162" s="2" t="s">
        <v>168</v>
      </c>
      <c r="B162" s="5">
        <v>13.9</v>
      </c>
      <c r="C162" s="5">
        <v>1.1000000000000001</v>
      </c>
      <c r="D162" s="5">
        <v>24.75</v>
      </c>
      <c r="E162" s="5">
        <v>8.1</v>
      </c>
      <c r="F162" s="5">
        <f>VLOOKUP(A162,[1]Hardness!A162:H438,2,TRUE)</f>
        <v>16.100000000000001</v>
      </c>
      <c r="G162" s="5">
        <f>VLOOKUP($A162,[1]Hardness!$A$2:$H$278,3,TRUE)</f>
        <v>1.6</v>
      </c>
      <c r="H162" s="5">
        <v>57.034999999999997</v>
      </c>
    </row>
    <row r="163" spans="1:8" x14ac:dyDescent="0.25">
      <c r="A163" s="2" t="s">
        <v>169</v>
      </c>
      <c r="B163" s="5">
        <v>6.4</v>
      </c>
      <c r="C163" s="5">
        <v>0.5</v>
      </c>
      <c r="D163" s="5">
        <v>9</v>
      </c>
      <c r="E163" s="5">
        <v>7.45</v>
      </c>
      <c r="F163" s="5">
        <f>VLOOKUP(A163,[1]Hardness!A163:H439,2,TRUE)</f>
        <v>1.77</v>
      </c>
      <c r="G163" s="5">
        <f>VLOOKUP($A163,[1]Hardness!$A$2:$H$278,3,TRUE)</f>
        <v>0.4</v>
      </c>
      <c r="H163" s="5">
        <v>7.3931999999999993</v>
      </c>
    </row>
    <row r="164" spans="1:8" x14ac:dyDescent="0.25">
      <c r="A164" s="2" t="s">
        <v>170</v>
      </c>
      <c r="B164" s="5">
        <v>6.9</v>
      </c>
      <c r="C164" s="5">
        <v>43.3</v>
      </c>
      <c r="D164" s="5">
        <v>8.25</v>
      </c>
      <c r="E164" s="5">
        <v>7.85</v>
      </c>
      <c r="F164" s="5">
        <f>VLOOKUP(A164,[1]Hardness!A164:H440,2,TRUE)</f>
        <v>14.47</v>
      </c>
      <c r="G164" s="5">
        <f>VLOOKUP($A164,[1]Hardness!$A$2:$H$278,3,TRUE)</f>
        <v>4.7300000000000004</v>
      </c>
      <c r="H164" s="5">
        <v>67.771000000000001</v>
      </c>
    </row>
    <row r="165" spans="1:8" x14ac:dyDescent="0.25">
      <c r="A165" s="2" t="s">
        <v>171</v>
      </c>
      <c r="B165" s="5">
        <v>11</v>
      </c>
      <c r="C165" s="5">
        <v>7.9</v>
      </c>
      <c r="D165" s="5">
        <v>13.75</v>
      </c>
      <c r="E165" s="5">
        <v>7.93</v>
      </c>
      <c r="F165" s="5">
        <f>VLOOKUP(A165,[1]Hardness!A165:H441,2,TRUE)</f>
        <v>30.05</v>
      </c>
      <c r="G165" s="5">
        <f>VLOOKUP($A165,[1]Hardness!$A$2:$H$278,3,TRUE)</f>
        <v>2.92</v>
      </c>
      <c r="H165" s="5">
        <v>106.1156</v>
      </c>
    </row>
    <row r="166" spans="1:8" x14ac:dyDescent="0.25">
      <c r="A166" s="2" t="s">
        <v>172</v>
      </c>
      <c r="B166" s="5">
        <v>8.3000000000000007</v>
      </c>
      <c r="C166" s="5">
        <v>0.5</v>
      </c>
      <c r="D166" s="5">
        <v>16.25</v>
      </c>
      <c r="E166" s="5">
        <v>7.53</v>
      </c>
      <c r="F166" s="5">
        <f>VLOOKUP(A166,[1]Hardness!A166:H442,2,TRUE)</f>
        <v>1.9</v>
      </c>
      <c r="G166" s="5">
        <f>VLOOKUP($A166,[1]Hardness!$A$2:$H$278,3,TRUE)</f>
        <v>1.27</v>
      </c>
      <c r="H166" s="5">
        <v>12.151200000000001</v>
      </c>
    </row>
    <row r="167" spans="1:8" x14ac:dyDescent="0.25">
      <c r="A167" s="2" t="s">
        <v>173</v>
      </c>
      <c r="B167" s="5">
        <v>9.0500000000000007</v>
      </c>
      <c r="C167" s="5">
        <v>4.9800000000000004</v>
      </c>
      <c r="D167" s="5">
        <v>18.13</v>
      </c>
      <c r="E167" s="5">
        <v>7.7</v>
      </c>
      <c r="F167" s="5">
        <f>VLOOKUP(A167,[1]Hardness!A167:H443,2,TRUE)</f>
        <v>8.35</v>
      </c>
      <c r="G167" s="5">
        <f>VLOOKUP($A167,[1]Hardness!$A$2:$H$278,3,TRUE)</f>
        <v>1.34</v>
      </c>
      <c r="H167" s="5">
        <v>32.134799999999998</v>
      </c>
    </row>
    <row r="168" spans="1:8" x14ac:dyDescent="0.25">
      <c r="A168" s="2" t="s">
        <v>174</v>
      </c>
      <c r="B168" s="5">
        <v>9</v>
      </c>
      <c r="C168" s="5">
        <v>4.57</v>
      </c>
      <c r="D168" s="5">
        <v>17.940000000000001</v>
      </c>
      <c r="E168" s="5">
        <v>7.61</v>
      </c>
      <c r="F168" s="5">
        <f>VLOOKUP(A168,[1]Hardness!A168:H444,2,TRUE)</f>
        <v>8.0399999999999991</v>
      </c>
      <c r="G168" s="5">
        <f>VLOOKUP($A168,[1]Hardness!$A$2:$H$278,3,TRUE)</f>
        <v>1.29</v>
      </c>
      <c r="H168" s="5">
        <v>30.9392</v>
      </c>
    </row>
    <row r="169" spans="1:8" x14ac:dyDescent="0.25">
      <c r="A169" s="2" t="s">
        <v>175</v>
      </c>
      <c r="B169" s="5">
        <v>9.73</v>
      </c>
      <c r="C169" s="5">
        <v>4.8</v>
      </c>
      <c r="D169" s="5">
        <v>17.850000000000001</v>
      </c>
      <c r="E169" s="5">
        <v>7.67</v>
      </c>
      <c r="F169" s="5">
        <f>VLOOKUP(A169,[1]Hardness!A169:H445,2,TRUE)</f>
        <v>8.41</v>
      </c>
      <c r="G169" s="5">
        <f>VLOOKUP($A169,[1]Hardness!$A$2:$H$278,3,TRUE)</f>
        <v>1.38</v>
      </c>
      <c r="H169" s="5">
        <v>32.525199999999998</v>
      </c>
    </row>
    <row r="170" spans="1:8" x14ac:dyDescent="0.25">
      <c r="A170" s="2" t="s">
        <v>176</v>
      </c>
      <c r="B170" s="5">
        <v>9.83</v>
      </c>
      <c r="C170" s="5">
        <v>5.0999999999999996</v>
      </c>
      <c r="D170" s="5">
        <v>17.920000000000002</v>
      </c>
      <c r="E170" s="5">
        <v>7.63</v>
      </c>
      <c r="F170" s="5">
        <f>VLOOKUP(A170,[1]Hardness!A170:H446,2,TRUE)</f>
        <v>7.84</v>
      </c>
      <c r="G170" s="5">
        <f>VLOOKUP($A170,[1]Hardness!$A$2:$H$278,3,TRUE)</f>
        <v>1.29</v>
      </c>
      <c r="H170" s="5">
        <v>30.3414</v>
      </c>
    </row>
    <row r="171" spans="1:8" x14ac:dyDescent="0.25">
      <c r="A171" s="2" t="s">
        <v>177</v>
      </c>
      <c r="B171" s="5">
        <v>14.2</v>
      </c>
      <c r="C171" s="5">
        <v>4.2</v>
      </c>
      <c r="D171" s="5">
        <v>13.7</v>
      </c>
      <c r="E171" s="5">
        <v>8.1199999999999992</v>
      </c>
      <c r="F171" s="5">
        <f>VLOOKUP(A171,[1]Hardness!A171:H447,2,TRUE)</f>
        <v>11.72</v>
      </c>
      <c r="G171" s="5">
        <f>VLOOKUP($A171,[1]Hardness!$A$2:$H$278,3,TRUE)</f>
        <v>4.41</v>
      </c>
      <c r="H171" s="5">
        <v>57.803600000000003</v>
      </c>
    </row>
    <row r="172" spans="1:8" x14ac:dyDescent="0.25">
      <c r="A172" s="2" t="s">
        <v>178</v>
      </c>
      <c r="B172" s="5">
        <v>7.47</v>
      </c>
      <c r="C172" s="5">
        <v>2.4700000000000002</v>
      </c>
      <c r="D172" s="5">
        <v>9.32</v>
      </c>
      <c r="E172" s="5">
        <v>8.0299999999999994</v>
      </c>
      <c r="F172" s="5">
        <f>VLOOKUP(A172,[1]Hardness!A172:H448,2,TRUE)</f>
        <v>5.84</v>
      </c>
      <c r="G172" s="5">
        <f>VLOOKUP($A172,[1]Hardness!$A$2:$H$278,3,TRUE)</f>
        <v>0.88</v>
      </c>
      <c r="H172" s="5">
        <v>22.191800000000001</v>
      </c>
    </row>
    <row r="173" spans="1:8" x14ac:dyDescent="0.25">
      <c r="A173" s="2" t="s">
        <v>179</v>
      </c>
      <c r="B173" s="5">
        <v>7.63</v>
      </c>
      <c r="C173" s="5">
        <v>2.5</v>
      </c>
      <c r="D173" s="5">
        <v>9.69</v>
      </c>
      <c r="E173" s="5">
        <v>7.89</v>
      </c>
      <c r="F173" s="5">
        <f>VLOOKUP(A173,[1]Hardness!A173:H449,2,TRUE)</f>
        <v>4.33</v>
      </c>
      <c r="G173" s="5">
        <f>VLOOKUP($A173,[1]Hardness!$A$2:$H$278,3,TRUE)</f>
        <v>0.96</v>
      </c>
      <c r="H173" s="5">
        <v>17.995000000000001</v>
      </c>
    </row>
    <row r="174" spans="1:8" x14ac:dyDescent="0.25">
      <c r="A174" s="2" t="s">
        <v>180</v>
      </c>
      <c r="B174" s="5">
        <v>13.3</v>
      </c>
      <c r="C174" s="5">
        <v>0.5</v>
      </c>
      <c r="D174" s="5">
        <v>26</v>
      </c>
      <c r="E174" s="5">
        <v>7.95</v>
      </c>
      <c r="F174" s="5">
        <f>VLOOKUP(A174,[1]Hardness!A174:H450,2,TRUE)</f>
        <v>4</v>
      </c>
      <c r="G174" s="5">
        <f>VLOOKUP($A174,[1]Hardness!$A$2:$H$278,3,TRUE)</f>
        <v>2</v>
      </c>
      <c r="H174" s="5">
        <v>22.203999999999997</v>
      </c>
    </row>
    <row r="175" spans="1:8" x14ac:dyDescent="0.25">
      <c r="A175" s="2" t="s">
        <v>181</v>
      </c>
      <c r="B175" s="5">
        <v>5.03</v>
      </c>
      <c r="C175" s="5">
        <v>12.9</v>
      </c>
      <c r="D175" s="5">
        <v>7.95</v>
      </c>
      <c r="E175" s="5">
        <v>7.63</v>
      </c>
      <c r="F175" s="5">
        <f>VLOOKUP(A175,[1]Hardness!A175:H451,2,TRUE)</f>
        <v>8.0299999999999994</v>
      </c>
      <c r="G175" s="5">
        <f>VLOOKUP($A175,[1]Hardness!$A$2:$H$278,3,TRUE)</f>
        <v>0.66</v>
      </c>
      <c r="H175" s="5">
        <v>27.754999999999999</v>
      </c>
    </row>
    <row r="176" spans="1:8" x14ac:dyDescent="0.25">
      <c r="A176" s="2" t="s">
        <v>182</v>
      </c>
      <c r="B176" s="5">
        <v>24.1</v>
      </c>
      <c r="C176" s="5">
        <v>25.85</v>
      </c>
      <c r="D176" s="5">
        <v>8.4</v>
      </c>
      <c r="E176" s="5">
        <v>7.48</v>
      </c>
      <c r="F176" s="5">
        <f>VLOOKUP(A176,[1]Hardness!A176:H452,2,TRUE)</f>
        <v>22.43</v>
      </c>
      <c r="G176" s="5">
        <f>VLOOKUP($A176,[1]Hardness!$A$2:$H$278,3,TRUE)</f>
        <v>8.48</v>
      </c>
      <c r="H176" s="5">
        <v>110.81259999999999</v>
      </c>
    </row>
    <row r="177" spans="1:8" x14ac:dyDescent="0.25">
      <c r="A177" s="2" t="s">
        <v>183</v>
      </c>
      <c r="B177" s="5">
        <v>17.84</v>
      </c>
      <c r="C177" s="5">
        <v>19.78</v>
      </c>
      <c r="D177" s="5">
        <v>13.95</v>
      </c>
      <c r="E177" s="5">
        <v>8.32</v>
      </c>
      <c r="F177" s="5">
        <f>VLOOKUP(A177,[1]Hardness!A177:H453,2,TRUE)</f>
        <v>7.7</v>
      </c>
      <c r="G177" s="5">
        <f>VLOOKUP($A177,[1]Hardness!$A$2:$H$278,3,TRUE)</f>
        <v>2</v>
      </c>
      <c r="H177" s="5">
        <v>33.476800000000004</v>
      </c>
    </row>
    <row r="178" spans="1:8" x14ac:dyDescent="0.25">
      <c r="A178" s="2" t="s">
        <v>184</v>
      </c>
      <c r="B178" s="5">
        <v>47.1</v>
      </c>
      <c r="C178" s="5">
        <v>22.9</v>
      </c>
      <c r="D178" s="5">
        <v>38.25</v>
      </c>
      <c r="E178" s="5">
        <v>8.15</v>
      </c>
      <c r="F178" s="5">
        <f>VLOOKUP(A178,[1]Hardness!A178:H454,2,TRUE)</f>
        <v>1.2</v>
      </c>
      <c r="G178" s="5">
        <f>VLOOKUP($A178,[1]Hardness!$A$2:$H$278,3,TRUE)</f>
        <v>1.7</v>
      </c>
      <c r="H178" s="5">
        <v>12.175600000000001</v>
      </c>
    </row>
    <row r="179" spans="1:8" x14ac:dyDescent="0.25">
      <c r="A179" s="2" t="s">
        <v>185</v>
      </c>
      <c r="B179" s="5">
        <v>5.4</v>
      </c>
      <c r="C179" s="5">
        <v>14.8</v>
      </c>
      <c r="D179" s="5">
        <v>9</v>
      </c>
      <c r="E179" s="5">
        <v>7.78</v>
      </c>
      <c r="F179" s="5">
        <f>VLOOKUP(A179,[1]Hardness!A179:H455,2,TRUE)</f>
        <v>57.05</v>
      </c>
      <c r="G179" s="5">
        <f>VLOOKUP($A179,[1]Hardness!$A$2:$H$278,3,TRUE)</f>
        <v>19.93</v>
      </c>
      <c r="H179" s="5">
        <v>273.63380000000001</v>
      </c>
    </row>
    <row r="180" spans="1:8" x14ac:dyDescent="0.25">
      <c r="A180" s="2" t="s">
        <v>186</v>
      </c>
      <c r="B180" s="5">
        <v>17.8</v>
      </c>
      <c r="C180" s="5">
        <v>24.15</v>
      </c>
      <c r="D180" s="5">
        <v>8.6</v>
      </c>
      <c r="E180" s="5">
        <v>7.72</v>
      </c>
      <c r="F180" s="5">
        <f>VLOOKUP(A180,[1]Hardness!A180:H456,2,TRUE)</f>
        <v>2.19</v>
      </c>
      <c r="G180" s="5">
        <f>VLOOKUP($A180,[1]Hardness!$A$2:$H$278,3,TRUE)</f>
        <v>0.64</v>
      </c>
      <c r="H180" s="5">
        <v>9.8819999999999997</v>
      </c>
    </row>
    <row r="181" spans="1:8" x14ac:dyDescent="0.25">
      <c r="A181" s="2" t="s">
        <v>187</v>
      </c>
      <c r="B181" s="5">
        <v>18</v>
      </c>
      <c r="C181" s="5">
        <v>1.4</v>
      </c>
      <c r="D181" s="5">
        <v>37.25</v>
      </c>
      <c r="E181" s="5">
        <v>7.8</v>
      </c>
      <c r="F181" s="5">
        <f>VLOOKUP(A181,[1]Hardness!A181:H457,2,TRUE)</f>
        <v>8.1</v>
      </c>
      <c r="G181" s="5">
        <f>VLOOKUP($A181,[1]Hardness!$A$2:$H$278,3,TRUE)</f>
        <v>2.9</v>
      </c>
      <c r="H181" s="5">
        <v>39.198599999999999</v>
      </c>
    </row>
    <row r="182" spans="1:8" x14ac:dyDescent="0.25">
      <c r="A182" s="2" t="s">
        <v>188</v>
      </c>
      <c r="B182" s="5">
        <v>31.05</v>
      </c>
      <c r="C182" s="5">
        <v>16.75</v>
      </c>
      <c r="D182" s="5">
        <v>31.14</v>
      </c>
      <c r="E182" s="5">
        <v>8.43</v>
      </c>
      <c r="F182" s="5">
        <f>VLOOKUP(A182,[1]Hardness!A182:H458,2,TRUE)</f>
        <v>1.75</v>
      </c>
      <c r="G182" s="5">
        <f>VLOOKUP($A182,[1]Hardness!$A$2:$H$278,3,TRUE)</f>
        <v>1.6</v>
      </c>
      <c r="H182" s="5">
        <v>13.358999999999998</v>
      </c>
    </row>
    <row r="183" spans="1:8" x14ac:dyDescent="0.25">
      <c r="A183" s="2" t="s">
        <v>189</v>
      </c>
      <c r="B183" s="5">
        <v>88.6</v>
      </c>
      <c r="C183" s="5">
        <v>27.5</v>
      </c>
      <c r="D183" s="5">
        <v>154.25</v>
      </c>
      <c r="E183" s="5">
        <v>7.3</v>
      </c>
      <c r="F183" s="5">
        <f>VLOOKUP(A183,[1]Hardness!A183:H459,2,TRUE)</f>
        <v>98.8</v>
      </c>
      <c r="G183" s="5">
        <f>VLOOKUP($A183,[1]Hardness!$A$2:$H$278,3,TRUE)</f>
        <v>23.1</v>
      </c>
      <c r="H183" s="5">
        <v>416.61779999999999</v>
      </c>
    </row>
    <row r="184" spans="1:8" x14ac:dyDescent="0.25">
      <c r="A184" s="2" t="s">
        <v>190</v>
      </c>
      <c r="B184" s="5">
        <v>14.9</v>
      </c>
      <c r="C184" s="5">
        <v>0.7</v>
      </c>
      <c r="D184" s="5">
        <v>15.5</v>
      </c>
      <c r="E184" s="5">
        <v>7.88</v>
      </c>
      <c r="F184" s="5">
        <f>VLOOKUP(A184,[1]Hardness!A184:H460,2,TRUE)</f>
        <v>5.95</v>
      </c>
      <c r="G184" s="5">
        <f>VLOOKUP($A184,[1]Hardness!$A$2:$H$278,3,TRUE)</f>
        <v>2.48</v>
      </c>
      <c r="H184" s="5">
        <v>30.5488</v>
      </c>
    </row>
    <row r="185" spans="1:8" x14ac:dyDescent="0.25">
      <c r="A185" s="2" t="s">
        <v>191</v>
      </c>
      <c r="B185" s="5">
        <v>47.3</v>
      </c>
      <c r="C185" s="5">
        <v>11.7</v>
      </c>
      <c r="D185" s="5">
        <v>81.5</v>
      </c>
      <c r="E185" s="5">
        <v>7.6</v>
      </c>
      <c r="F185" s="5">
        <f>VLOOKUP(A185,[1]Hardness!A185:H461,2,TRUE)</f>
        <v>12.9</v>
      </c>
      <c r="G185" s="5">
        <f>VLOOKUP($A185,[1]Hardness!$A$2:$H$278,3,TRUE)</f>
        <v>5.9</v>
      </c>
      <c r="H185" s="5">
        <v>68.869</v>
      </c>
    </row>
    <row r="186" spans="1:8" x14ac:dyDescent="0.25">
      <c r="A186" s="2" t="s">
        <v>192</v>
      </c>
      <c r="B186" s="5">
        <v>11.58</v>
      </c>
      <c r="C186" s="5">
        <v>6.2</v>
      </c>
      <c r="D186" s="5">
        <v>21.81</v>
      </c>
      <c r="E186" s="5">
        <v>8.0500000000000007</v>
      </c>
      <c r="F186" s="5">
        <f>VLOOKUP(A186,[1]Hardness!A186:H462,2,TRUE)</f>
        <v>11.8</v>
      </c>
      <c r="G186" s="5">
        <f>VLOOKUP($A186,[1]Hardness!$A$2:$H$278,3,TRUE)</f>
        <v>1.92</v>
      </c>
      <c r="H186" s="5">
        <v>45.5548</v>
      </c>
    </row>
    <row r="187" spans="1:8" x14ac:dyDescent="0.25">
      <c r="A187" s="2" t="s">
        <v>193</v>
      </c>
      <c r="B187" s="5">
        <v>7.45</v>
      </c>
      <c r="C187" s="5">
        <v>36.4</v>
      </c>
      <c r="D187" s="5">
        <v>15.06</v>
      </c>
      <c r="E187" s="5">
        <v>8.06</v>
      </c>
      <c r="F187" s="5">
        <f>VLOOKUP(A187,[1]Hardness!A187:H463,2,TRUE)</f>
        <v>18.989999999999998</v>
      </c>
      <c r="G187" s="5">
        <f>VLOOKUP($A187,[1]Hardness!$A$2:$H$278,3,TRUE)</f>
        <v>2.73</v>
      </c>
      <c r="H187" s="5">
        <v>71.504199999999997</v>
      </c>
    </row>
    <row r="188" spans="1:8" x14ac:dyDescent="0.25">
      <c r="A188" s="2" t="s">
        <v>194</v>
      </c>
      <c r="B188" s="5">
        <v>11.23</v>
      </c>
      <c r="C188" s="5">
        <v>3.28</v>
      </c>
      <c r="D188" s="5">
        <v>34.15</v>
      </c>
      <c r="E188" s="5">
        <v>7.56</v>
      </c>
      <c r="F188" s="5">
        <f>VLOOKUP(A188,[1]Hardness!A188:H464,2,TRUE)</f>
        <v>10.78</v>
      </c>
      <c r="G188" s="5">
        <f>VLOOKUP($A188,[1]Hardness!$A$2:$H$278,3,TRUE)</f>
        <v>1.31</v>
      </c>
      <c r="H188" s="5">
        <v>39.381599999999999</v>
      </c>
    </row>
    <row r="189" spans="1:8" x14ac:dyDescent="0.25">
      <c r="A189" s="2" t="s">
        <v>195</v>
      </c>
      <c r="B189" s="5">
        <v>6.3</v>
      </c>
      <c r="C189" s="5">
        <v>12.33</v>
      </c>
      <c r="D189" s="5">
        <v>8.56</v>
      </c>
      <c r="E189" s="5">
        <v>8.01</v>
      </c>
      <c r="F189" s="5">
        <f>VLOOKUP(A189,[1]Hardness!A189:H465,2,TRUE)</f>
        <v>16.54</v>
      </c>
      <c r="G189" s="5">
        <f>VLOOKUP($A189,[1]Hardness!$A$2:$H$278,3,TRUE)</f>
        <v>1.89</v>
      </c>
      <c r="H189" s="5">
        <v>59.828800000000001</v>
      </c>
    </row>
    <row r="190" spans="1:8" x14ac:dyDescent="0.25">
      <c r="A190" s="2" t="s">
        <v>196</v>
      </c>
      <c r="B190" s="5">
        <v>5.93</v>
      </c>
      <c r="C190" s="5">
        <v>32.369999999999997</v>
      </c>
      <c r="D190" s="5">
        <v>10.96</v>
      </c>
      <c r="E190" s="5">
        <v>7.73</v>
      </c>
      <c r="F190" s="5">
        <f>VLOOKUP(A190,[1]Hardness!A190:H466,2,TRUE)</f>
        <v>21.43</v>
      </c>
      <c r="G190" s="5">
        <f>VLOOKUP($A190,[1]Hardness!$A$2:$H$278,3,TRUE)</f>
        <v>1.32</v>
      </c>
      <c r="H190" s="5">
        <v>71.85799999999999</v>
      </c>
    </row>
    <row r="191" spans="1:8" x14ac:dyDescent="0.25">
      <c r="A191" s="2" t="s">
        <v>197</v>
      </c>
      <c r="B191" s="5">
        <v>6.4</v>
      </c>
      <c r="C191" s="5">
        <v>0.5</v>
      </c>
      <c r="D191" s="5">
        <v>8</v>
      </c>
      <c r="E191" s="5">
        <v>7.7</v>
      </c>
      <c r="F191" s="5">
        <f>VLOOKUP(A191,[1]Hardness!A191:H467,2,TRUE)</f>
        <v>1.2</v>
      </c>
      <c r="G191" s="5">
        <f>VLOOKUP($A191,[1]Hardness!$A$2:$H$278,3,TRUE)</f>
        <v>0.52</v>
      </c>
      <c r="H191" s="5">
        <v>6.2585999999999995</v>
      </c>
    </row>
    <row r="192" spans="1:8" x14ac:dyDescent="0.25">
      <c r="A192" s="2" t="s">
        <v>198</v>
      </c>
      <c r="B192" s="5">
        <v>72.7</v>
      </c>
      <c r="C192" s="5">
        <v>59.1</v>
      </c>
      <c r="D192" s="5">
        <v>47.75</v>
      </c>
      <c r="E192" s="5">
        <v>8.1</v>
      </c>
      <c r="F192" s="5">
        <f>VLOOKUP(A192,[1]Hardness!A192:H468,2,TRUE)</f>
        <v>4.6500000000000004</v>
      </c>
      <c r="G192" s="5">
        <f>VLOOKUP($A192,[1]Hardness!$A$2:$H$278,3,TRUE)</f>
        <v>2.83</v>
      </c>
      <c r="H192" s="5">
        <v>28.352799999999998</v>
      </c>
    </row>
    <row r="193" spans="1:8" x14ac:dyDescent="0.25">
      <c r="A193" s="2" t="s">
        <v>199</v>
      </c>
      <c r="B193" s="5">
        <v>12.3</v>
      </c>
      <c r="C193" s="5">
        <v>2</v>
      </c>
      <c r="D193" s="5">
        <v>11</v>
      </c>
      <c r="E193" s="5">
        <v>8.1300000000000008</v>
      </c>
      <c r="F193" s="5">
        <f>VLOOKUP(A193,[1]Hardness!A193:H469,2,TRUE)</f>
        <v>8.4</v>
      </c>
      <c r="G193" s="5">
        <f>VLOOKUP($A193,[1]Hardness!$A$2:$H$278,3,TRUE)</f>
        <v>1.03</v>
      </c>
      <c r="H193" s="5">
        <v>30.7318</v>
      </c>
    </row>
    <row r="194" spans="1:8" x14ac:dyDescent="0.25">
      <c r="A194" s="2" t="s">
        <v>200</v>
      </c>
      <c r="B194" s="5">
        <v>8.9</v>
      </c>
      <c r="C194" s="5">
        <v>1.6</v>
      </c>
      <c r="D194" s="5">
        <v>14.5</v>
      </c>
      <c r="E194" s="5">
        <v>7.98</v>
      </c>
      <c r="F194" s="5">
        <f>VLOOKUP(A194,[1]Hardness!A194:H470,2,TRUE)</f>
        <v>6.03</v>
      </c>
      <c r="G194" s="5">
        <f>VLOOKUP($A194,[1]Hardness!$A$2:$H$278,3,TRUE)</f>
        <v>1.65</v>
      </c>
      <c r="H194" s="5">
        <v>26.632599999999996</v>
      </c>
    </row>
    <row r="195" spans="1:8" x14ac:dyDescent="0.25">
      <c r="A195" s="2" t="s">
        <v>201</v>
      </c>
      <c r="B195" s="5">
        <v>7.57</v>
      </c>
      <c r="C195" s="5">
        <v>45.73</v>
      </c>
      <c r="D195" s="5">
        <v>9.52</v>
      </c>
      <c r="E195" s="5">
        <v>7.78</v>
      </c>
      <c r="F195" s="5">
        <f>VLOOKUP(A195,[1]Hardness!A195:H471,2,TRUE)</f>
        <v>18.440000000000001</v>
      </c>
      <c r="G195" s="5">
        <f>VLOOKUP($A195,[1]Hardness!$A$2:$H$278,3,TRUE)</f>
        <v>4.3099999999999996</v>
      </c>
      <c r="H195" s="5">
        <v>77.750599999999991</v>
      </c>
    </row>
    <row r="196" spans="1:8" x14ac:dyDescent="0.25">
      <c r="A196" s="2" t="s">
        <v>202</v>
      </c>
      <c r="B196" s="5">
        <v>10.7</v>
      </c>
      <c r="C196" s="5">
        <v>0.5</v>
      </c>
      <c r="D196" s="5">
        <v>13.5</v>
      </c>
      <c r="E196" s="5">
        <v>8.4</v>
      </c>
      <c r="F196" s="5">
        <f>VLOOKUP(A196,[1]Hardness!A196:H472,2,TRUE)</f>
        <v>3.5</v>
      </c>
      <c r="G196" s="5">
        <f>VLOOKUP($A196,[1]Hardness!$A$2:$H$278,3,TRUE)</f>
        <v>0.5</v>
      </c>
      <c r="H196" s="5">
        <v>13.163799999999998</v>
      </c>
    </row>
    <row r="197" spans="1:8" x14ac:dyDescent="0.25">
      <c r="A197" s="2" t="s">
        <v>203</v>
      </c>
      <c r="B197" s="5">
        <v>16</v>
      </c>
      <c r="C197" s="5">
        <v>3.35</v>
      </c>
      <c r="D197" s="5">
        <v>27.11</v>
      </c>
      <c r="E197" s="5">
        <v>8.25</v>
      </c>
      <c r="F197" s="5">
        <f>VLOOKUP(A197,[1]Hardness!A197:H473,2,TRUE)</f>
        <v>18.05</v>
      </c>
      <c r="G197" s="5">
        <f>VLOOKUP($A197,[1]Hardness!$A$2:$H$278,3,TRUE)</f>
        <v>3.58</v>
      </c>
      <c r="H197" s="5">
        <v>72.907199999999989</v>
      </c>
    </row>
    <row r="198" spans="1:8" x14ac:dyDescent="0.25">
      <c r="A198" s="2" t="s">
        <v>204</v>
      </c>
      <c r="B198" s="5">
        <v>8.98</v>
      </c>
      <c r="C198" s="5">
        <v>2.58</v>
      </c>
      <c r="D198" s="5">
        <v>11.77</v>
      </c>
      <c r="E198" s="5">
        <v>8.33</v>
      </c>
      <c r="F198" s="5">
        <f>VLOOKUP(A198,[1]Hardness!A198:H474,2,TRUE)</f>
        <v>5</v>
      </c>
      <c r="G198" s="5">
        <f>VLOOKUP($A198,[1]Hardness!$A$2:$H$278,3,TRUE)</f>
        <v>1.74</v>
      </c>
      <c r="H198" s="5">
        <v>23.948599999999999</v>
      </c>
    </row>
    <row r="199" spans="1:8" x14ac:dyDescent="0.25">
      <c r="A199" s="2" t="s">
        <v>205</v>
      </c>
      <c r="B199" s="5">
        <v>9.17</v>
      </c>
      <c r="C199" s="5">
        <v>2.37</v>
      </c>
      <c r="D199" s="5">
        <v>11.92</v>
      </c>
      <c r="E199" s="5">
        <v>8.34</v>
      </c>
      <c r="F199" s="5">
        <f>VLOOKUP(A199,[1]Hardness!A199:H475,2,TRUE)</f>
        <v>5.66</v>
      </c>
      <c r="G199" s="5">
        <f>VLOOKUP($A199,[1]Hardness!$A$2:$H$278,3,TRUE)</f>
        <v>1.46</v>
      </c>
      <c r="H199" s="5">
        <v>24.558599999999998</v>
      </c>
    </row>
    <row r="200" spans="1:8" x14ac:dyDescent="0.25">
      <c r="A200" s="2" t="s">
        <v>206</v>
      </c>
      <c r="B200" s="5">
        <v>7.85</v>
      </c>
      <c r="C200" s="5">
        <v>27.7</v>
      </c>
      <c r="D200" s="5">
        <v>12.81</v>
      </c>
      <c r="E200" s="5">
        <v>7.91</v>
      </c>
      <c r="F200" s="5">
        <f>VLOOKUP(A200,[1]Hardness!A200:H476,2,TRUE)</f>
        <v>16.510000000000002</v>
      </c>
      <c r="G200" s="5">
        <f>VLOOKUP($A200,[1]Hardness!$A$2:$H$278,3,TRUE)</f>
        <v>4.34</v>
      </c>
      <c r="H200" s="5">
        <v>72.028800000000004</v>
      </c>
    </row>
    <row r="201" spans="1:8" x14ac:dyDescent="0.25">
      <c r="A201" s="2" t="s">
        <v>207</v>
      </c>
      <c r="B201" s="5">
        <v>9.3000000000000007</v>
      </c>
      <c r="C201" s="5">
        <v>2.2999999999999998</v>
      </c>
      <c r="D201" s="5">
        <v>12.1</v>
      </c>
      <c r="E201" s="5">
        <v>8.26</v>
      </c>
      <c r="F201" s="5">
        <f>VLOOKUP(A201,[1]Hardness!A201:H477,2,TRUE)</f>
        <v>7.8</v>
      </c>
      <c r="G201" s="5">
        <f>VLOOKUP($A201,[1]Hardness!$A$2:$H$278,3,TRUE)</f>
        <v>2.35</v>
      </c>
      <c r="H201" s="5">
        <v>35.526400000000002</v>
      </c>
    </row>
    <row r="202" spans="1:8" x14ac:dyDescent="0.25">
      <c r="A202" s="2" t="s">
        <v>208</v>
      </c>
      <c r="B202" s="5">
        <v>33.299999999999997</v>
      </c>
      <c r="C202" s="5">
        <v>11.8</v>
      </c>
      <c r="D202" s="5">
        <v>30.5</v>
      </c>
      <c r="E202" s="5">
        <v>7.8</v>
      </c>
      <c r="F202" s="5">
        <f>VLOOKUP(A202,[1]Hardness!A202:H478,2,TRUE)</f>
        <v>62.5</v>
      </c>
      <c r="G202" s="5">
        <f>VLOOKUP($A202,[1]Hardness!$A$2:$H$278,3,TRUE)</f>
        <v>26.6</v>
      </c>
      <c r="H202" s="5">
        <v>323.69040000000001</v>
      </c>
    </row>
    <row r="203" spans="1:8" x14ac:dyDescent="0.25">
      <c r="A203" s="2" t="s">
        <v>209</v>
      </c>
      <c r="B203" s="5">
        <v>77</v>
      </c>
      <c r="C203" s="5">
        <v>9.9</v>
      </c>
      <c r="D203" s="5">
        <v>16.5</v>
      </c>
      <c r="E203" s="5">
        <v>8.2799999999999994</v>
      </c>
      <c r="F203" s="5">
        <f>VLOOKUP(A203,[1]Hardness!A203:H479,2,TRUE)</f>
        <v>29</v>
      </c>
      <c r="G203" s="5">
        <f>VLOOKUP($A203,[1]Hardness!$A$2:$H$278,3,TRUE)</f>
        <v>7.2</v>
      </c>
      <c r="H203" s="5">
        <v>124.39119999999998</v>
      </c>
    </row>
    <row r="204" spans="1:8" x14ac:dyDescent="0.25">
      <c r="A204" s="2" t="s">
        <v>210</v>
      </c>
      <c r="B204" s="5">
        <v>59.4</v>
      </c>
      <c r="C204" s="5">
        <v>49.3</v>
      </c>
      <c r="D204" s="5">
        <v>96</v>
      </c>
      <c r="E204" s="5">
        <v>7.53</v>
      </c>
      <c r="F204" s="5">
        <f>VLOOKUP(A204,[1]Hardness!A204:H480,2,TRUE)</f>
        <v>33.17</v>
      </c>
      <c r="G204" s="5">
        <f>VLOOKUP($A204,[1]Hardness!$A$2:$H$278,3,TRUE)</f>
        <v>14.73</v>
      </c>
      <c r="H204" s="5">
        <v>174.86260000000001</v>
      </c>
    </row>
    <row r="205" spans="1:8" x14ac:dyDescent="0.25">
      <c r="A205" s="2" t="s">
        <v>211</v>
      </c>
      <c r="B205" s="5">
        <v>10.4</v>
      </c>
      <c r="C205" s="5">
        <v>0.7</v>
      </c>
      <c r="D205" s="5">
        <v>20.75</v>
      </c>
      <c r="E205" s="5">
        <v>8.0299999999999994</v>
      </c>
      <c r="F205" s="5">
        <f>VLOOKUP(A205,[1]Hardness!A205:H481,2,TRUE)</f>
        <v>3.9</v>
      </c>
      <c r="G205" s="5">
        <f>VLOOKUP($A205,[1]Hardness!$A$2:$H$278,3,TRUE)</f>
        <v>2.2000000000000002</v>
      </c>
      <c r="H205" s="5">
        <v>22.9116</v>
      </c>
    </row>
    <row r="206" spans="1:8" x14ac:dyDescent="0.25">
      <c r="A206" s="2" t="s">
        <v>212</v>
      </c>
      <c r="B206" s="5">
        <v>10.5</v>
      </c>
      <c r="C206" s="5">
        <v>0.5</v>
      </c>
      <c r="D206" s="5">
        <v>19</v>
      </c>
      <c r="E206" s="5">
        <v>8.0500000000000007</v>
      </c>
      <c r="F206" s="5">
        <f>VLOOKUP(A206,[1]Hardness!A206:H482,2,TRUE)</f>
        <v>16.350000000000001</v>
      </c>
      <c r="G206" s="5">
        <f>VLOOKUP($A206,[1]Hardness!$A$2:$H$278,3,TRUE)</f>
        <v>0.92</v>
      </c>
      <c r="H206" s="5">
        <v>54.387599999999999</v>
      </c>
    </row>
    <row r="207" spans="1:8" x14ac:dyDescent="0.25">
      <c r="A207" s="2" t="s">
        <v>213</v>
      </c>
      <c r="B207" s="5">
        <v>17.399999999999999</v>
      </c>
      <c r="C207" s="5">
        <v>0.5</v>
      </c>
      <c r="D207" s="5">
        <v>29.5</v>
      </c>
      <c r="E207" s="5">
        <v>8.1300000000000008</v>
      </c>
      <c r="F207" s="5">
        <f>VLOOKUP(A207,[1]Hardness!A207:H483,2,TRUE)</f>
        <v>3.33</v>
      </c>
      <c r="G207" s="5">
        <f>VLOOKUP($A207,[1]Hardness!$A$2:$H$278,3,TRUE)</f>
        <v>1.75</v>
      </c>
      <c r="H207" s="5">
        <v>18.91</v>
      </c>
    </row>
    <row r="208" spans="1:8" x14ac:dyDescent="0.25">
      <c r="A208" s="2" t="s">
        <v>214</v>
      </c>
      <c r="B208" s="5">
        <v>6.4</v>
      </c>
      <c r="C208" s="5">
        <v>1.2</v>
      </c>
      <c r="D208" s="5">
        <v>9.75</v>
      </c>
      <c r="E208" s="5">
        <v>8</v>
      </c>
      <c r="F208" s="5">
        <f>VLOOKUP(A208,[1]Hardness!A208:H484,2,TRUE)</f>
        <v>2.7</v>
      </c>
      <c r="G208" s="5">
        <f>VLOOKUP($A208,[1]Hardness!$A$2:$H$278,3,TRUE)</f>
        <v>0.7</v>
      </c>
      <c r="H208" s="5">
        <v>11.7242</v>
      </c>
    </row>
    <row r="209" spans="1:8" x14ac:dyDescent="0.25">
      <c r="A209" s="2" t="s">
        <v>215</v>
      </c>
      <c r="B209" s="5">
        <v>17.7</v>
      </c>
      <c r="C209" s="5">
        <v>0.5</v>
      </c>
      <c r="D209" s="5">
        <v>14.75</v>
      </c>
      <c r="E209" s="5">
        <v>7.88</v>
      </c>
      <c r="F209" s="5">
        <f>VLOOKUP(A209,[1]Hardness!A209:H485,2,TRUE)</f>
        <v>3.8</v>
      </c>
      <c r="G209" s="5">
        <f>VLOOKUP($A209,[1]Hardness!$A$2:$H$278,3,TRUE)</f>
        <v>1.4</v>
      </c>
      <c r="H209" s="5">
        <v>18.5928</v>
      </c>
    </row>
    <row r="210" spans="1:8" x14ac:dyDescent="0.25">
      <c r="A210" s="2" t="s">
        <v>216</v>
      </c>
      <c r="B210" s="5">
        <v>25.8</v>
      </c>
      <c r="C210" s="5">
        <v>1</v>
      </c>
      <c r="D210" s="5">
        <v>48.5</v>
      </c>
      <c r="E210" s="5">
        <v>8.1300000000000008</v>
      </c>
      <c r="F210" s="5">
        <f>VLOOKUP(A210,[1]Hardness!A210:H486,2,TRUE)</f>
        <v>4.75</v>
      </c>
      <c r="G210" s="5">
        <f>VLOOKUP($A210,[1]Hardness!$A$2:$H$278,3,TRUE)</f>
        <v>3.25</v>
      </c>
      <c r="H210" s="5">
        <v>30.768399999999996</v>
      </c>
    </row>
    <row r="211" spans="1:8" x14ac:dyDescent="0.25">
      <c r="A211" s="2" t="s">
        <v>217</v>
      </c>
      <c r="B211" s="5">
        <v>34.5</v>
      </c>
      <c r="C211" s="5">
        <v>6.3</v>
      </c>
      <c r="D211" s="5">
        <v>36.25</v>
      </c>
      <c r="E211" s="5">
        <v>7.98</v>
      </c>
      <c r="F211" s="5">
        <f>VLOOKUP(A211,[1]Hardness!A211:H487,2,TRUE)</f>
        <v>1.75</v>
      </c>
      <c r="G211" s="5">
        <f>VLOOKUP($A211,[1]Hardness!$A$2:$H$278,3,TRUE)</f>
        <v>1.95</v>
      </c>
      <c r="H211" s="5">
        <v>15.1036</v>
      </c>
    </row>
    <row r="212" spans="1:8" x14ac:dyDescent="0.25">
      <c r="A212" s="2" t="s">
        <v>218</v>
      </c>
      <c r="B212" s="5">
        <v>9.77</v>
      </c>
      <c r="C212" s="5">
        <v>51.9</v>
      </c>
      <c r="D212" s="5">
        <v>15.12</v>
      </c>
      <c r="E212" s="5">
        <v>7.99</v>
      </c>
      <c r="F212" s="5">
        <f>VLOOKUP(A212,[1]Hardness!A212:H488,2,TRUE)</f>
        <v>39.409999999999997</v>
      </c>
      <c r="G212" s="5">
        <f>VLOOKUP($A212,[1]Hardness!$A$2:$H$278,3,TRUE)</f>
        <v>1.5</v>
      </c>
      <c r="H212" s="5">
        <v>127.49</v>
      </c>
    </row>
    <row r="213" spans="1:8" x14ac:dyDescent="0.25">
      <c r="A213" s="2" t="s">
        <v>219</v>
      </c>
      <c r="B213" s="5">
        <v>14.1</v>
      </c>
      <c r="C213" s="5">
        <v>2.2999999999999998</v>
      </c>
      <c r="D213" s="5">
        <v>14.25</v>
      </c>
      <c r="E213" s="5">
        <v>8.48</v>
      </c>
      <c r="F213" s="5">
        <f>VLOOKUP(A213,[1]Hardness!A213:H489,2,TRUE)</f>
        <v>10.7</v>
      </c>
      <c r="G213" s="5">
        <f>VLOOKUP($A213,[1]Hardness!$A$2:$H$278,3,TRUE)</f>
        <v>1.6</v>
      </c>
      <c r="H213" s="5">
        <v>40.601599999999998</v>
      </c>
    </row>
    <row r="214" spans="1:8" x14ac:dyDescent="0.25">
      <c r="A214" s="2" t="s">
        <v>220</v>
      </c>
      <c r="B214" s="5">
        <v>14.2</v>
      </c>
      <c r="C214" s="5">
        <v>0.5</v>
      </c>
      <c r="D214" s="5">
        <v>29</v>
      </c>
      <c r="E214" s="5">
        <v>7.65</v>
      </c>
      <c r="F214" s="5">
        <f>VLOOKUP(A214,[1]Hardness!A214:H490,2,TRUE)</f>
        <v>3.48</v>
      </c>
      <c r="G214" s="5">
        <f>VLOOKUP($A214,[1]Hardness!$A$2:$H$278,3,TRUE)</f>
        <v>1.8</v>
      </c>
      <c r="H214" s="5">
        <v>19.617599999999996</v>
      </c>
    </row>
    <row r="215" spans="1:8" x14ac:dyDescent="0.25">
      <c r="A215" s="2" t="s">
        <v>221</v>
      </c>
      <c r="B215" s="5">
        <v>34.549999999999997</v>
      </c>
      <c r="C215" s="5">
        <v>21.15</v>
      </c>
      <c r="D215" s="5">
        <v>29.46</v>
      </c>
      <c r="E215" s="5">
        <v>8.26</v>
      </c>
      <c r="F215" s="5">
        <f>VLOOKUP(A215,[1]Hardness!A215:H491,2,TRUE)</f>
        <v>1.25</v>
      </c>
      <c r="G215" s="5">
        <f>VLOOKUP($A215,[1]Hardness!$A$2:$H$278,3,TRUE)</f>
        <v>1.61</v>
      </c>
      <c r="H215" s="5">
        <v>11.8828</v>
      </c>
    </row>
    <row r="216" spans="1:8" x14ac:dyDescent="0.25">
      <c r="A216" s="2" t="s">
        <v>222</v>
      </c>
      <c r="B216" s="5">
        <v>3.8</v>
      </c>
      <c r="C216" s="5">
        <v>0.5</v>
      </c>
      <c r="D216" s="5">
        <v>6</v>
      </c>
      <c r="E216" s="5">
        <v>7.85</v>
      </c>
      <c r="F216" s="5">
        <f>VLOOKUP(A216,[1]Hardness!A216:H492,2,TRUE)</f>
        <v>5.9</v>
      </c>
      <c r="G216" s="5">
        <f>VLOOKUP($A216,[1]Hardness!$A$2:$H$278,3,TRUE)</f>
        <v>0.85</v>
      </c>
      <c r="H216" s="5">
        <v>22.228399999999997</v>
      </c>
    </row>
    <row r="217" spans="1:8" x14ac:dyDescent="0.25">
      <c r="A217" s="2" t="s">
        <v>223</v>
      </c>
      <c r="B217" s="5">
        <v>3</v>
      </c>
      <c r="C217" s="5">
        <v>0.5</v>
      </c>
      <c r="D217" s="5">
        <v>4.75</v>
      </c>
      <c r="E217" s="5">
        <v>7.65</v>
      </c>
      <c r="F217" s="5">
        <f>VLOOKUP(A217,[1]Hardness!A217:H493,2,TRUE)</f>
        <v>2.1</v>
      </c>
      <c r="G217" s="5">
        <f>VLOOKUP($A217,[1]Hardness!$A$2:$H$278,3,TRUE)</f>
        <v>0.4</v>
      </c>
      <c r="H217" s="5">
        <v>8.3935999999999993</v>
      </c>
    </row>
    <row r="218" spans="1:8" x14ac:dyDescent="0.25">
      <c r="A218" s="2" t="s">
        <v>224</v>
      </c>
      <c r="B218" s="5">
        <v>54.5</v>
      </c>
      <c r="C218" s="5">
        <v>29.3</v>
      </c>
      <c r="D218" s="5">
        <v>87.25</v>
      </c>
      <c r="E218" s="5">
        <v>7.6</v>
      </c>
      <c r="F218" s="5">
        <f>VLOOKUP(A218,[1]Hardness!A218:H494,2,TRUE)</f>
        <v>75.03</v>
      </c>
      <c r="G218" s="5">
        <f>VLOOKUP($A218,[1]Hardness!$A$2:$H$278,3,TRUE)</f>
        <v>22.18</v>
      </c>
      <c r="H218" s="5">
        <v>339.64799999999997</v>
      </c>
    </row>
    <row r="219" spans="1:8" x14ac:dyDescent="0.25">
      <c r="A219" s="2" t="s">
        <v>225</v>
      </c>
      <c r="B219" s="5">
        <v>3.3</v>
      </c>
      <c r="C219" s="5">
        <v>0.5</v>
      </c>
      <c r="D219" s="5">
        <v>7.25</v>
      </c>
      <c r="E219" s="5">
        <v>7.88</v>
      </c>
      <c r="F219" s="5">
        <f>VLOOKUP(A219,[1]Hardness!A219:H495,2,TRUE)</f>
        <v>2.48</v>
      </c>
      <c r="G219" s="5">
        <f>VLOOKUP($A219,[1]Hardness!$A$2:$H$278,3,TRUE)</f>
        <v>0.45</v>
      </c>
      <c r="H219" s="5">
        <v>9.808799999999998</v>
      </c>
    </row>
    <row r="220" spans="1:8" x14ac:dyDescent="0.25">
      <c r="A220" s="2" t="s">
        <v>226</v>
      </c>
      <c r="B220" s="5">
        <v>27.3</v>
      </c>
      <c r="C220" s="5">
        <v>14.9</v>
      </c>
      <c r="D220" s="5">
        <v>26.25</v>
      </c>
      <c r="E220" s="5">
        <v>7.97</v>
      </c>
      <c r="F220" s="5">
        <f>VLOOKUP(A220,[1]Hardness!A220:H496,2,TRUE)</f>
        <v>1.38</v>
      </c>
      <c r="G220" s="5">
        <f>VLOOKUP($A220,[1]Hardness!$A$2:$H$278,3,TRUE)</f>
        <v>1.25</v>
      </c>
      <c r="H220" s="5">
        <v>10.467599999999999</v>
      </c>
    </row>
    <row r="221" spans="1:8" x14ac:dyDescent="0.25">
      <c r="A221" s="2" t="s">
        <v>227</v>
      </c>
      <c r="B221" s="5">
        <v>37.1</v>
      </c>
      <c r="C221" s="5">
        <v>19.899999999999999</v>
      </c>
      <c r="D221" s="5">
        <v>26.5</v>
      </c>
      <c r="E221" s="5">
        <v>7.68</v>
      </c>
      <c r="F221" s="5">
        <f>VLOOKUP(A221,[1]Hardness!A221:H497,2,TRUE)</f>
        <v>1.2</v>
      </c>
      <c r="G221" s="5">
        <f>VLOOKUP($A221,[1]Hardness!$A$2:$H$278,3,TRUE)</f>
        <v>0.8</v>
      </c>
      <c r="H221" s="5">
        <v>7.6616</v>
      </c>
    </row>
    <row r="222" spans="1:8" x14ac:dyDescent="0.25">
      <c r="A222" s="2" t="s">
        <v>228</v>
      </c>
      <c r="B222" s="5">
        <v>22.2</v>
      </c>
      <c r="C222" s="5">
        <v>4.3</v>
      </c>
      <c r="D222" s="5">
        <v>28</v>
      </c>
      <c r="E222" s="5">
        <v>7.98</v>
      </c>
      <c r="F222" s="5">
        <f>VLOOKUP(A222,[1]Hardness!A222:H498,2,TRUE)</f>
        <v>1.2</v>
      </c>
      <c r="G222" s="5">
        <f>VLOOKUP($A222,[1]Hardness!$A$2:$H$278,3,TRUE)</f>
        <v>1.6</v>
      </c>
      <c r="H222" s="5">
        <v>11.6754</v>
      </c>
    </row>
    <row r="223" spans="1:8" x14ac:dyDescent="0.25">
      <c r="A223" s="2" t="s">
        <v>229</v>
      </c>
      <c r="B223" s="5">
        <v>4.4000000000000004</v>
      </c>
      <c r="C223" s="5">
        <v>0.5</v>
      </c>
      <c r="D223" s="5">
        <v>8</v>
      </c>
      <c r="E223" s="5">
        <v>7.63</v>
      </c>
      <c r="F223" s="5">
        <f>VLOOKUP(A223,[1]Hardness!A223:H499,2,TRUE)</f>
        <v>3.55</v>
      </c>
      <c r="G223" s="5">
        <f>VLOOKUP($A223,[1]Hardness!$A$2:$H$278,3,TRUE)</f>
        <v>0.52</v>
      </c>
      <c r="H223" s="5">
        <v>13.42</v>
      </c>
    </row>
    <row r="224" spans="1:8" x14ac:dyDescent="0.25">
      <c r="A224" s="2" t="s">
        <v>230</v>
      </c>
      <c r="B224" s="5">
        <v>8.3000000000000007</v>
      </c>
      <c r="C224" s="5">
        <v>1.9</v>
      </c>
      <c r="D224" s="5">
        <v>12.25</v>
      </c>
      <c r="E224" s="5">
        <v>7.6</v>
      </c>
      <c r="F224" s="5">
        <f>VLOOKUP(A224,[1]Hardness!A224:H500,2,TRUE)</f>
        <v>3.25</v>
      </c>
      <c r="G224" s="5">
        <f>VLOOKUP($A224,[1]Hardness!$A$2:$H$278,3,TRUE)</f>
        <v>0.72</v>
      </c>
      <c r="H224" s="5">
        <v>13.5054</v>
      </c>
    </row>
    <row r="225" spans="1:8" x14ac:dyDescent="0.25">
      <c r="A225" s="2" t="s">
        <v>231</v>
      </c>
      <c r="B225" s="5">
        <v>10.83</v>
      </c>
      <c r="C225" s="5">
        <v>6.52</v>
      </c>
      <c r="D225" s="5">
        <v>17.27</v>
      </c>
      <c r="E225" s="5">
        <v>7.82</v>
      </c>
      <c r="F225" s="5">
        <f>VLOOKUP(A225,[1]Hardness!A225:H501,2,TRUE)</f>
        <v>28.79</v>
      </c>
      <c r="G225" s="5">
        <f>VLOOKUP($A225,[1]Hardness!$A$2:$H$278,3,TRUE)</f>
        <v>13.45</v>
      </c>
      <c r="H225" s="5">
        <v>155.11079999999998</v>
      </c>
    </row>
    <row r="226" spans="1:8" x14ac:dyDescent="0.25">
      <c r="A226" s="2" t="s">
        <v>232</v>
      </c>
      <c r="B226" s="5">
        <v>9.1999999999999993</v>
      </c>
      <c r="C226" s="5">
        <v>0.5</v>
      </c>
      <c r="D226" s="5">
        <v>15.25</v>
      </c>
      <c r="E226" s="5">
        <v>7.75</v>
      </c>
      <c r="F226" s="5">
        <f>VLOOKUP(A226,[1]Hardness!A226:H502,2,TRUE)</f>
        <v>5.92</v>
      </c>
      <c r="G226" s="5">
        <f>VLOOKUP($A226,[1]Hardness!$A$2:$H$278,3,TRUE)</f>
        <v>0.8</v>
      </c>
      <c r="H226" s="5">
        <v>22.033199999999997</v>
      </c>
    </row>
    <row r="227" spans="1:8" x14ac:dyDescent="0.25">
      <c r="A227" s="2" t="s">
        <v>233</v>
      </c>
      <c r="B227" s="5">
        <v>34.700000000000003</v>
      </c>
      <c r="C227" s="5">
        <v>16.5</v>
      </c>
      <c r="D227" s="5">
        <v>43.25</v>
      </c>
      <c r="E227" s="5">
        <v>8.15</v>
      </c>
      <c r="F227" s="5">
        <f>VLOOKUP(A227,[1]Hardness!A227:H503,2,TRUE)</f>
        <v>108.97</v>
      </c>
      <c r="G227" s="5">
        <f>VLOOKUP($A227,[1]Hardness!$A$2:$H$278,3,TRUE)</f>
        <v>11</v>
      </c>
      <c r="H227" s="5">
        <v>386.87420000000003</v>
      </c>
    </row>
    <row r="228" spans="1:8" x14ac:dyDescent="0.25">
      <c r="A228" s="2" t="s">
        <v>234</v>
      </c>
      <c r="B228" s="5">
        <v>22.9</v>
      </c>
      <c r="C228" s="5">
        <v>11.9</v>
      </c>
      <c r="D228" s="5">
        <v>24.5</v>
      </c>
      <c r="E228" s="5">
        <v>8.1300000000000008</v>
      </c>
      <c r="F228" s="5">
        <f>VLOOKUP(A228,[1]Hardness!A228:H504,2,TRUE)</f>
        <v>3.5</v>
      </c>
      <c r="G228" s="5">
        <f>VLOOKUP($A228,[1]Hardness!$A$2:$H$278,3,TRUE)</f>
        <v>2.12</v>
      </c>
      <c r="H228" s="5">
        <v>21.288999999999998</v>
      </c>
    </row>
    <row r="229" spans="1:8" x14ac:dyDescent="0.25">
      <c r="A229" s="2" t="s">
        <v>235</v>
      </c>
      <c r="B229" s="5">
        <v>65.7</v>
      </c>
      <c r="C229" s="5">
        <v>3.9</v>
      </c>
      <c r="D229" s="5">
        <v>14</v>
      </c>
      <c r="E229" s="5">
        <v>8</v>
      </c>
      <c r="F229" s="5">
        <f>VLOOKUP(A229,[1]Hardness!A229:H505,2,TRUE)</f>
        <v>8.07</v>
      </c>
      <c r="G229" s="5">
        <f>VLOOKUP($A229,[1]Hardness!$A$2:$H$278,3,TRUE)</f>
        <v>3.2</v>
      </c>
      <c r="H229" s="5">
        <v>40.613799999999998</v>
      </c>
    </row>
    <row r="230" spans="1:8" x14ac:dyDescent="0.25">
      <c r="A230" s="2" t="s">
        <v>236</v>
      </c>
      <c r="B230" s="5">
        <v>8.1</v>
      </c>
      <c r="C230" s="5">
        <v>2.8</v>
      </c>
      <c r="D230" s="5">
        <v>11.25</v>
      </c>
      <c r="E230" s="5">
        <v>8.0500000000000007</v>
      </c>
      <c r="F230" s="5">
        <f>VLOOKUP(A230,[1]Hardness!A230:H506,2,TRUE)</f>
        <v>8.65</v>
      </c>
      <c r="G230" s="5">
        <f>VLOOKUP($A230,[1]Hardness!$A$2:$H$278,3,TRUE)</f>
        <v>7.88</v>
      </c>
      <c r="H230" s="5">
        <v>65.855599999999995</v>
      </c>
    </row>
    <row r="231" spans="1:8" x14ac:dyDescent="0.25">
      <c r="A231" s="2" t="s">
        <v>237</v>
      </c>
      <c r="B231" s="5">
        <v>5.9</v>
      </c>
      <c r="C231" s="5">
        <v>1.1000000000000001</v>
      </c>
      <c r="D231" s="5">
        <v>7.25</v>
      </c>
      <c r="E231" s="5">
        <v>7.9</v>
      </c>
      <c r="F231" s="5">
        <f>VLOOKUP(A231,[1]Hardness!A231:H507,2,TRUE)</f>
        <v>15.55</v>
      </c>
      <c r="G231" s="5">
        <f>VLOOKUP($A231,[1]Hardness!$A$2:$H$278,3,TRUE)</f>
        <v>3.12</v>
      </c>
      <c r="H231" s="5">
        <v>62.988600000000005</v>
      </c>
    </row>
    <row r="232" spans="1:8" x14ac:dyDescent="0.25">
      <c r="A232" s="2" t="s">
        <v>238</v>
      </c>
      <c r="B232" s="5">
        <v>45.1</v>
      </c>
      <c r="C232" s="5">
        <v>48.7</v>
      </c>
      <c r="D232" s="5">
        <v>19</v>
      </c>
      <c r="E232" s="5">
        <v>7.88</v>
      </c>
      <c r="F232" s="5">
        <f>VLOOKUP(A232,[1]Hardness!A232:H508,2,TRUE)</f>
        <v>1.35</v>
      </c>
      <c r="G232" s="5">
        <f>VLOOKUP($A232,[1]Hardness!$A$2:$H$278,3,TRUE)</f>
        <v>1.4</v>
      </c>
      <c r="H232" s="5">
        <v>11.1386</v>
      </c>
    </row>
    <row r="233" spans="1:8" x14ac:dyDescent="0.25">
      <c r="A233" s="2" t="s">
        <v>239</v>
      </c>
      <c r="B233" s="5">
        <v>7.6</v>
      </c>
      <c r="C233" s="5">
        <v>2.2000000000000002</v>
      </c>
      <c r="D233" s="5">
        <v>11.25</v>
      </c>
      <c r="E233" s="5">
        <v>7.05</v>
      </c>
      <c r="F233" s="5">
        <f>VLOOKUP(A233,[1]Hardness!A233:H509,2,TRUE)</f>
        <v>24.5</v>
      </c>
      <c r="G233" s="5">
        <f>VLOOKUP($A233,[1]Hardness!$A$2:$H$278,3,TRUE)</f>
        <v>1.1000000000000001</v>
      </c>
      <c r="H233" s="5">
        <v>80.093000000000004</v>
      </c>
    </row>
    <row r="234" spans="1:8" x14ac:dyDescent="0.25">
      <c r="A234" s="2" t="s">
        <v>240</v>
      </c>
      <c r="B234" s="5">
        <v>23</v>
      </c>
      <c r="C234" s="5">
        <v>30.33</v>
      </c>
      <c r="D234" s="5">
        <v>17.14</v>
      </c>
      <c r="E234" s="5">
        <v>8.3699999999999992</v>
      </c>
      <c r="F234" s="5">
        <f>VLOOKUP(A234,[1]Hardness!A234:H510,2,TRUE)</f>
        <v>8.81</v>
      </c>
      <c r="G234" s="5">
        <f>VLOOKUP($A234,[1]Hardness!$A$2:$H$278,3,TRUE)</f>
        <v>2.4900000000000002</v>
      </c>
      <c r="H234" s="5">
        <v>39.308399999999999</v>
      </c>
    </row>
    <row r="235" spans="1:8" x14ac:dyDescent="0.25">
      <c r="A235" s="2" t="s">
        <v>241</v>
      </c>
      <c r="B235" s="5">
        <v>6.15</v>
      </c>
      <c r="C235" s="5">
        <v>1.6</v>
      </c>
      <c r="D235" s="5">
        <v>11.38</v>
      </c>
      <c r="E235" s="5">
        <v>7.86</v>
      </c>
      <c r="F235" s="5">
        <f>VLOOKUP(A235,[1]Hardness!A235:H511,2,TRUE)</f>
        <v>4.97</v>
      </c>
      <c r="G235" s="5">
        <f>VLOOKUP($A235,[1]Hardness!$A$2:$H$278,3,TRUE)</f>
        <v>1.06</v>
      </c>
      <c r="H235" s="5">
        <v>20.447200000000002</v>
      </c>
    </row>
    <row r="236" spans="1:8" x14ac:dyDescent="0.25">
      <c r="A236" s="2" t="s">
        <v>242</v>
      </c>
      <c r="B236" s="5">
        <v>6.3</v>
      </c>
      <c r="C236" s="5">
        <v>1.6</v>
      </c>
      <c r="D236" s="5">
        <v>11.28</v>
      </c>
      <c r="E236" s="5">
        <v>7.77</v>
      </c>
      <c r="F236" s="5">
        <f>VLOOKUP(A236,[1]Hardness!A236:H512,2,TRUE)</f>
        <v>5.25</v>
      </c>
      <c r="G236" s="5">
        <f>VLOOKUP($A236,[1]Hardness!$A$2:$H$278,3,TRUE)</f>
        <v>1.04</v>
      </c>
      <c r="H236" s="5">
        <v>21.203599999999998</v>
      </c>
    </row>
    <row r="237" spans="1:8" x14ac:dyDescent="0.25">
      <c r="A237" s="2" t="s">
        <v>243</v>
      </c>
      <c r="B237" s="5">
        <v>6</v>
      </c>
      <c r="C237" s="5">
        <v>1.57</v>
      </c>
      <c r="D237" s="5">
        <v>11.46</v>
      </c>
      <c r="E237" s="5">
        <v>7.87</v>
      </c>
      <c r="F237" s="5">
        <f>VLOOKUP(A237,[1]Hardness!A237:H513,2,TRUE)</f>
        <v>4.92</v>
      </c>
      <c r="G237" s="5">
        <f>VLOOKUP($A237,[1]Hardness!$A$2:$H$278,3,TRUE)</f>
        <v>1.04</v>
      </c>
      <c r="H237" s="5">
        <v>20.190999999999999</v>
      </c>
    </row>
    <row r="238" spans="1:8" x14ac:dyDescent="0.25">
      <c r="A238" s="2" t="s">
        <v>244</v>
      </c>
      <c r="B238" s="5">
        <v>28.55</v>
      </c>
      <c r="C238" s="5">
        <v>33.380000000000003</v>
      </c>
      <c r="D238" s="5">
        <v>26</v>
      </c>
      <c r="E238" s="5">
        <v>8.5</v>
      </c>
      <c r="F238" s="5">
        <f>VLOOKUP(A238,[1]Hardness!A238:H514,2,TRUE)</f>
        <v>16.690000000000001</v>
      </c>
      <c r="G238" s="5">
        <f>VLOOKUP($A238,[1]Hardness!$A$2:$H$278,3,TRUE)</f>
        <v>4.8600000000000003</v>
      </c>
      <c r="H238" s="5">
        <v>75.188600000000008</v>
      </c>
    </row>
    <row r="239" spans="1:8" x14ac:dyDescent="0.25">
      <c r="A239" s="2" t="s">
        <v>245</v>
      </c>
      <c r="B239" s="5">
        <v>5.2</v>
      </c>
      <c r="C239" s="5">
        <v>1</v>
      </c>
      <c r="D239" s="5">
        <v>7.25</v>
      </c>
      <c r="E239" s="5">
        <v>7.88</v>
      </c>
      <c r="F239" s="5">
        <f>VLOOKUP(A239,[1]Hardness!A239:H515,2,TRUE)</f>
        <v>7.3</v>
      </c>
      <c r="G239" s="5">
        <f>VLOOKUP($A239,[1]Hardness!$A$2:$H$278,3,TRUE)</f>
        <v>0.52</v>
      </c>
      <c r="H239" s="5">
        <v>24.827000000000002</v>
      </c>
    </row>
    <row r="240" spans="1:8" x14ac:dyDescent="0.25">
      <c r="A240" s="2" t="s">
        <v>246</v>
      </c>
      <c r="B240" s="5">
        <v>46.6</v>
      </c>
      <c r="C240" s="5">
        <v>3.55</v>
      </c>
      <c r="D240" s="5">
        <v>23.14</v>
      </c>
      <c r="E240" s="5">
        <v>8.1199999999999992</v>
      </c>
      <c r="F240" s="5">
        <f>VLOOKUP(A240,[1]Hardness!A240:H516,2,TRUE)</f>
        <v>5.5</v>
      </c>
      <c r="G240" s="5">
        <f>VLOOKUP($A240,[1]Hardness!$A$2:$H$278,3,TRUE)</f>
        <v>1.8</v>
      </c>
      <c r="H240" s="5">
        <v>25.766400000000001</v>
      </c>
    </row>
    <row r="241" spans="1:8" x14ac:dyDescent="0.25">
      <c r="A241" s="2" t="s">
        <v>247</v>
      </c>
      <c r="B241" s="5">
        <v>25.1</v>
      </c>
      <c r="C241" s="5">
        <v>4.0999999999999996</v>
      </c>
      <c r="D241" s="5">
        <v>42</v>
      </c>
      <c r="E241" s="5">
        <v>8.0500000000000007</v>
      </c>
      <c r="F241" s="5">
        <f>VLOOKUP(A241,[1]Hardness!A241:H517,2,TRUE)</f>
        <v>3.77</v>
      </c>
      <c r="G241" s="5">
        <f>VLOOKUP($A241,[1]Hardness!$A$2:$H$278,3,TRUE)</f>
        <v>3.83</v>
      </c>
      <c r="H241" s="5">
        <v>30.6952</v>
      </c>
    </row>
    <row r="242" spans="1:8" x14ac:dyDescent="0.25">
      <c r="A242" s="2" t="s">
        <v>248</v>
      </c>
      <c r="B242" s="5">
        <v>9.1</v>
      </c>
      <c r="C242" s="5">
        <v>0.5</v>
      </c>
      <c r="D242" s="5">
        <v>20.5</v>
      </c>
      <c r="E242" s="5">
        <v>7.8</v>
      </c>
      <c r="F242" s="5">
        <f>VLOOKUP(A242,[1]Hardness!A242:H518,2,TRUE)</f>
        <v>13.5</v>
      </c>
      <c r="G242" s="5">
        <f>VLOOKUP($A242,[1]Hardness!$A$2:$H$278,3,TRUE)</f>
        <v>7.7</v>
      </c>
      <c r="H242" s="5">
        <v>79.714799999999997</v>
      </c>
    </row>
    <row r="243" spans="1:8" x14ac:dyDescent="0.25">
      <c r="A243" s="2" t="s">
        <v>249</v>
      </c>
      <c r="B243" s="5">
        <v>35.450000000000003</v>
      </c>
      <c r="C243" s="5">
        <v>4.5</v>
      </c>
      <c r="D243" s="5">
        <v>51.29</v>
      </c>
      <c r="E243" s="5">
        <v>8.14</v>
      </c>
      <c r="F243" s="5">
        <f>VLOOKUP(A243,[1]Hardness!A243:H519,2,TRUE)</f>
        <v>1.85</v>
      </c>
      <c r="G243" s="5">
        <f>VLOOKUP($A243,[1]Hardness!$A$2:$H$278,3,TRUE)</f>
        <v>2.67</v>
      </c>
      <c r="H243" s="5">
        <v>19.0198</v>
      </c>
    </row>
    <row r="244" spans="1:8" x14ac:dyDescent="0.25">
      <c r="A244" s="2" t="s">
        <v>250</v>
      </c>
      <c r="B244" s="5">
        <v>64.5</v>
      </c>
      <c r="C244" s="5">
        <v>64.900000000000006</v>
      </c>
      <c r="D244" s="5">
        <v>100.75</v>
      </c>
      <c r="E244" s="5">
        <v>7.58</v>
      </c>
      <c r="F244" s="5">
        <f>VLOOKUP(A244,[1]Hardness!A244:H520,2,TRUE)</f>
        <v>54.5</v>
      </c>
      <c r="G244" s="5">
        <f>VLOOKUP($A244,[1]Hardness!$A$2:$H$278,3,TRUE)</f>
        <v>15.43</v>
      </c>
      <c r="H244" s="5">
        <v>243.30459999999999</v>
      </c>
    </row>
    <row r="245" spans="1:8" x14ac:dyDescent="0.25">
      <c r="A245" s="2" t="s">
        <v>251</v>
      </c>
      <c r="B245" s="5">
        <v>0.9</v>
      </c>
      <c r="C245" s="5">
        <v>0.5</v>
      </c>
      <c r="D245" s="5">
        <v>2</v>
      </c>
      <c r="E245" s="5">
        <v>7.8</v>
      </c>
      <c r="F245" s="5">
        <f>VLOOKUP(A245,[1]Hardness!A245:H521,2,TRUE)</f>
        <v>15.82</v>
      </c>
      <c r="G245" s="5">
        <f>VLOOKUP($A245,[1]Hardness!$A$2:$H$278,3,TRUE)</f>
        <v>0.4</v>
      </c>
      <c r="H245" s="5">
        <v>50.166399999999996</v>
      </c>
    </row>
    <row r="246" spans="1:8" x14ac:dyDescent="0.25">
      <c r="A246" s="2" t="s">
        <v>252</v>
      </c>
      <c r="B246" s="5">
        <v>3.9</v>
      </c>
      <c r="C246" s="5">
        <v>30.23</v>
      </c>
      <c r="D246" s="5">
        <v>5.16</v>
      </c>
      <c r="E246" s="5">
        <v>7.77</v>
      </c>
      <c r="F246" s="5">
        <f>VLOOKUP(A246,[1]Hardness!A246:H522,2,TRUE)</f>
        <v>13.51</v>
      </c>
      <c r="G246" s="5">
        <f>VLOOKUP($A246,[1]Hardness!$A$2:$H$278,3,TRUE)</f>
        <v>0.68</v>
      </c>
      <c r="H246" s="5">
        <v>44.53</v>
      </c>
    </row>
    <row r="247" spans="1:8" x14ac:dyDescent="0.25">
      <c r="A247" s="2" t="s">
        <v>253</v>
      </c>
      <c r="B247" s="5">
        <v>19</v>
      </c>
      <c r="C247" s="5">
        <v>28.3</v>
      </c>
      <c r="D247" s="5">
        <v>9.6</v>
      </c>
      <c r="E247" s="5">
        <v>7.85</v>
      </c>
      <c r="F247" s="5">
        <f>VLOOKUP(A247,[1]Hardness!A247:H523,2,TRUE)</f>
        <v>10.62</v>
      </c>
      <c r="G247" s="5">
        <f>VLOOKUP($A247,[1]Hardness!$A$2:$H$278,3,TRUE)</f>
        <v>3.25</v>
      </c>
      <c r="H247" s="5">
        <v>48.629199999999997</v>
      </c>
    </row>
  </sheetData>
  <hyperlinks>
    <hyperlink ref="K1" r:id="rId1" xr:uid="{991E26DB-DDF7-4FE7-8EC5-07B1BED3C790}"/>
  </hyperlinks>
  <pageMargins left="0.75" right="0.75" top="1" bottom="1" header="0.5" footer="0.5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Gilchrist</dc:creator>
  <cp:lastModifiedBy>David Gilchrist</cp:lastModifiedBy>
  <dcterms:created xsi:type="dcterms:W3CDTF">2026-06-21T16:13:31Z</dcterms:created>
  <dcterms:modified xsi:type="dcterms:W3CDTF">2026-06-21T19:04:16Z</dcterms:modified>
</cp:coreProperties>
</file>